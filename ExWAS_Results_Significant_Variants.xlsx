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mx-my.sharepoint.com/personal/a01234292_tec_mx/Documents/Maestria/Tesis/ExWAS/"/>
    </mc:Choice>
  </mc:AlternateContent>
  <xr:revisionPtr revIDLastSave="2047" documentId="8_{33810450-D970-FB4F-9382-DA05CEEEC1C1}" xr6:coauthVersionLast="47" xr6:coauthVersionMax="47" xr10:uidLastSave="{B8A97150-B476-4042-B9B5-F2CA4348CEF7}"/>
  <bookViews>
    <workbookView xWindow="0" yWindow="660" windowWidth="29400" windowHeight="18460" firstSheet="2" activeTab="10" xr2:uid="{EE15BC0A-D883-2346-971F-2AC3E358DD86}"/>
  </bookViews>
  <sheets>
    <sheet name="ExWAS Resume" sheetId="1" r:id="rId1"/>
    <sheet name="ExWAS Results (p&lt;2-5e-6)" sheetId="2" r:id="rId2"/>
    <sheet name="C3_Top20_variants" sheetId="3" r:id="rId3"/>
    <sheet name="C2_Top20_variants" sheetId="4" r:id="rId4"/>
    <sheet name="C1_Top20_variants" sheetId="5" r:id="rId5"/>
    <sheet name="B3_Top20_variants" sheetId="8" r:id="rId6"/>
    <sheet name="B2_Top20_variants" sheetId="7" r:id="rId7"/>
    <sheet name="B1_Top20_variants" sheetId="6" r:id="rId8"/>
    <sheet name="A3_Top20_variants" sheetId="9" r:id="rId9"/>
    <sheet name="A2_Top_20_variants" sheetId="10" r:id="rId10"/>
    <sheet name="A1_Top_20_variants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5" i="2" l="1"/>
  <c r="A30" i="2"/>
  <c r="A20" i="2"/>
  <c r="A39" i="2"/>
  <c r="A60" i="2"/>
  <c r="A48" i="2"/>
  <c r="A51" i="2"/>
  <c r="A9" i="2"/>
  <c r="A26" i="2"/>
  <c r="A6" i="2"/>
  <c r="A24" i="2"/>
  <c r="A63" i="2"/>
  <c r="A52" i="2"/>
  <c r="A14" i="2"/>
  <c r="A4" i="2"/>
  <c r="A16" i="2"/>
  <c r="A13" i="2"/>
  <c r="A42" i="2"/>
  <c r="A22" i="2"/>
  <c r="A43" i="2"/>
  <c r="A38" i="2"/>
  <c r="A44" i="2"/>
  <c r="A59" i="2"/>
  <c r="A8" i="2"/>
  <c r="A15" i="2"/>
  <c r="A27" i="2"/>
  <c r="A21" i="2"/>
  <c r="A34" i="2"/>
  <c r="A11" i="2"/>
  <c r="A5" i="2"/>
  <c r="A19" i="2"/>
  <c r="A56" i="2"/>
  <c r="A7" i="2"/>
  <c r="A12" i="2"/>
  <c r="A54" i="2"/>
  <c r="A61" i="2"/>
  <c r="A53" i="2"/>
  <c r="A18" i="2"/>
  <c r="A62" i="2"/>
  <c r="A23" i="2"/>
  <c r="A17" i="2"/>
  <c r="A35" i="2"/>
  <c r="A3" i="2"/>
</calcChain>
</file>

<file path=xl/sharedStrings.xml><?xml version="1.0" encoding="utf-8"?>
<sst xmlns="http://schemas.openxmlformats.org/spreadsheetml/2006/main" count="1678" uniqueCount="297">
  <si>
    <t>Resume TOP 10 significant variants</t>
  </si>
  <si>
    <t>SCORE</t>
  </si>
  <si>
    <t>SNP</t>
  </si>
  <si>
    <t>AF1</t>
  </si>
  <si>
    <t>BETA</t>
  </si>
  <si>
    <t>P</t>
  </si>
  <si>
    <t>GWAS Catalog</t>
  </si>
  <si>
    <t>4:26672139:T:A</t>
  </si>
  <si>
    <t>A</t>
  </si>
  <si>
    <t>T</t>
  </si>
  <si>
    <t>rs9997999</t>
  </si>
  <si>
    <t>Not reported in Clinvar</t>
  </si>
  <si>
    <t>Not found</t>
  </si>
  <si>
    <t>Intron</t>
  </si>
  <si>
    <t>TBC1D19</t>
  </si>
  <si>
    <t>Fasting blood glucose</t>
  </si>
  <si>
    <t>4:26672165:A:G</t>
  </si>
  <si>
    <t>G</t>
  </si>
  <si>
    <t>rs7691219</t>
  </si>
  <si>
    <t>non_coding_transcript_variant</t>
  </si>
  <si>
    <t>2:112015789:A:G</t>
  </si>
  <si>
    <t>rs671059</t>
  </si>
  <si>
    <t>MERTK</t>
  </si>
  <si>
    <t>MERTK protein levels</t>
  </si>
  <si>
    <t>10:91935140:A:T</t>
  </si>
  <si>
    <t xml:space="preserve">rs10786024 </t>
  </si>
  <si>
    <t>BTAF1</t>
  </si>
  <si>
    <t>Waist-to-hip ratio or breast cancer (pleiotropy)</t>
  </si>
  <si>
    <t>No information</t>
  </si>
  <si>
    <t>B2</t>
  </si>
  <si>
    <t>12:25516252:G:A</t>
  </si>
  <si>
    <t>rs1678555</t>
  </si>
  <si>
    <t>Not Reported in ClinVar</t>
  </si>
  <si>
    <t>No significant eQTLs</t>
  </si>
  <si>
    <t>LMNTD1</t>
  </si>
  <si>
    <t>Cortisone levels</t>
  </si>
  <si>
    <t>12:25516266:T:G</t>
  </si>
  <si>
    <t>rs1678554</t>
  </si>
  <si>
    <t>B1</t>
  </si>
  <si>
    <t xml:space="preserve">Gene </t>
  </si>
  <si>
    <t>12:25516165:G:A</t>
  </si>
  <si>
    <t>10:91935136:A:T</t>
  </si>
  <si>
    <t>12:25516226:C:G</t>
  </si>
  <si>
    <t>12:123410716:A:T</t>
  </si>
  <si>
    <t>GSAP</t>
  </si>
  <si>
    <t>7:77406075:T:C</t>
  </si>
  <si>
    <t>6:144725786:T:C</t>
  </si>
  <si>
    <t>UTRN</t>
  </si>
  <si>
    <t>12:44913850:T:C</t>
  </si>
  <si>
    <t>NELL2</t>
  </si>
  <si>
    <t>16:275943:A:AG</t>
  </si>
  <si>
    <t>RGS11</t>
  </si>
  <si>
    <t xml:space="preserve">NUGGC </t>
  </si>
  <si>
    <t>8:28058313:T:C</t>
  </si>
  <si>
    <t>CYLC1</t>
  </si>
  <si>
    <t>23:83869794:A:T</t>
  </si>
  <si>
    <t>13:95301363:G:A</t>
  </si>
  <si>
    <t>ABCC4</t>
  </si>
  <si>
    <t>PGR</t>
  </si>
  <si>
    <t>11:101050934:C:A</t>
  </si>
  <si>
    <t>LHX4-AS1</t>
  </si>
  <si>
    <t>1:180274605:C:T</t>
  </si>
  <si>
    <t>5:840227:A:G</t>
  </si>
  <si>
    <t>ZDHHC11</t>
  </si>
  <si>
    <t>4:98106033:T:C</t>
  </si>
  <si>
    <t xml:space="preserve">STPG2 </t>
  </si>
  <si>
    <t>PLXNA2</t>
  </si>
  <si>
    <t>1:208103054:C:CCTCT</t>
  </si>
  <si>
    <t>CHR</t>
  </si>
  <si>
    <t>POS</t>
  </si>
  <si>
    <t>A1</t>
  </si>
  <si>
    <t>A2</t>
  </si>
  <si>
    <t>N</t>
  </si>
  <si>
    <t>SE_T</t>
  </si>
  <si>
    <t>P_noSPA</t>
  </si>
  <si>
    <t>SE</t>
  </si>
  <si>
    <t>rsID</t>
  </si>
  <si>
    <t>Clinvar</t>
  </si>
  <si>
    <t>eQTL</t>
  </si>
  <si>
    <t>Functional Consequence</t>
  </si>
  <si>
    <t>Asociado a SOP</t>
  </si>
  <si>
    <t>rs1705410</t>
  </si>
  <si>
    <t>rs11592774</t>
  </si>
  <si>
    <t>Adipose, Thyroid</t>
  </si>
  <si>
    <t>C</t>
  </si>
  <si>
    <t>rs6949654</t>
  </si>
  <si>
    <t>Cervical cancer</t>
  </si>
  <si>
    <t>rs11155373</t>
  </si>
  <si>
    <t>Testis</t>
  </si>
  <si>
    <t>Testosterone levels, Total testosterone levels</t>
  </si>
  <si>
    <t>rs1678556</t>
  </si>
  <si>
    <t xml:space="preserve">No significant eQTLs </t>
  </si>
  <si>
    <t>rs374144</t>
  </si>
  <si>
    <t>Adipose, Breast, Thyroid</t>
  </si>
  <si>
    <t>Waist circumference</t>
  </si>
  <si>
    <t>C2</t>
  </si>
  <si>
    <t>AG</t>
  </si>
  <si>
    <t>rs377164182</t>
  </si>
  <si>
    <t>Associated with polycystic ovary syndrome (PCOS) and related ovarian cancers</t>
  </si>
  <si>
    <t>rs4336563</t>
  </si>
  <si>
    <t>TNC protein levels</t>
  </si>
  <si>
    <t>rs6710591</t>
  </si>
  <si>
    <t>A3</t>
  </si>
  <si>
    <t>B3</t>
  </si>
  <si>
    <t xml:space="preserve">rs1678554 </t>
  </si>
  <si>
    <t>C1</t>
  </si>
  <si>
    <t xml:space="preserve">rs5968237 </t>
  </si>
  <si>
    <t>Morningness</t>
  </si>
  <si>
    <t>C3</t>
  </si>
  <si>
    <t>rs3751333</t>
  </si>
  <si>
    <t>Esophagus - Gastroesophageal Junction</t>
  </si>
  <si>
    <t>upstream_transcript_variant</t>
  </si>
  <si>
    <t>GP1BA protein levels</t>
  </si>
  <si>
    <t>rs645213</t>
  </si>
  <si>
    <t>6:123273365:T:TA</t>
  </si>
  <si>
    <t>TA</t>
  </si>
  <si>
    <t>Error</t>
  </si>
  <si>
    <t xml:space="preserve">rs1678555 </t>
  </si>
  <si>
    <t>rs138054044</t>
  </si>
  <si>
    <t>likely-benign</t>
  </si>
  <si>
    <t xml:space="preserve">rs3822811 </t>
  </si>
  <si>
    <t>Missense</t>
  </si>
  <si>
    <t>PDCD6 protein levels</t>
  </si>
  <si>
    <t>rs2903150</t>
  </si>
  <si>
    <t>Testis, Thyroid</t>
  </si>
  <si>
    <t>CCTCT</t>
  </si>
  <si>
    <t>rs10654695</t>
  </si>
  <si>
    <t>Breast and Cerebrall</t>
  </si>
  <si>
    <t>IGF 1 (UKB data field 30770)</t>
  </si>
  <si>
    <t>GENE</t>
  </si>
  <si>
    <t>Cases w/ variant</t>
  </si>
  <si>
    <t>Controls w/ variant</t>
  </si>
  <si>
    <t>Total testosterone levels</t>
  </si>
  <si>
    <t>Glycated hemoglobin levels</t>
  </si>
  <si>
    <t>Length of menstrual cycle / Age at menopause</t>
  </si>
  <si>
    <t>Response to mTOR inhibitor</t>
  </si>
  <si>
    <t xml:space="preserve">IGF 1 </t>
  </si>
  <si>
    <t>Has been reported as part of the molecular regulatory network associated with PCOS.</t>
  </si>
  <si>
    <t xml:space="preserve">Plays a key role in the clearance of apoptotic cells in ovarian follicles. </t>
  </si>
  <si>
    <t>No information related to PCOS found</t>
  </si>
  <si>
    <t>PCOS relation literature review</t>
  </si>
  <si>
    <t xml:space="preserve">No information related to PCOS found		
		</t>
  </si>
  <si>
    <t>No information related to PCOS found	.</t>
  </si>
  <si>
    <t>Involved in the regulation of the hypothalamic-pituitaty-gonadal axis by modeulating GnRH release</t>
  </si>
  <si>
    <t>Regulator of G protein signaling pathways and is overexpressed in ovarian tissue</t>
  </si>
  <si>
    <t xml:space="preserve">Regulates extracellular PGE2 levels in ovarian follicules. </t>
  </si>
  <si>
    <t>Contributes to progesterone resistance and endometrial dysfunction</t>
  </si>
  <si>
    <t>Identified among genes showing differential DNA methylation in metabolic tissues associated with PCOS</t>
  </si>
  <si>
    <t xml:space="preserve">May contribute to neuroendocrine regulation mechanism involved in PCOS. </t>
  </si>
  <si>
    <t xml:space="preserve">Plays a key role in the clearance of apoptotic cells in ovarian follicles. 		</t>
  </si>
  <si>
    <t xml:space="preserve">No information related to PCOS found		</t>
  </si>
  <si>
    <t xml:space="preserve">No information related to PCOS found	</t>
  </si>
  <si>
    <t xml:space="preserve">Involved in the regulation of the hypothalamic-pituitaty-gonadal axis by modeulating GnRH release		</t>
  </si>
  <si>
    <t>Regulates extracellular PGE2 levels in ovarian follicules.</t>
  </si>
  <si>
    <t>May contribute to neuroendocrine regulation mechanism involved in PCOS.</t>
  </si>
  <si>
    <t>Significant Loci Genes (p&lt;2.56e-6)</t>
  </si>
  <si>
    <t>ExWAS results of variants with a p-value greater than 2.5e10-6</t>
  </si>
  <si>
    <t>Gene</t>
  </si>
  <si>
    <t>CONVERGE</t>
  </si>
  <si>
    <t>13:113992471:C:T</t>
  </si>
  <si>
    <t>13:113996722:C:T</t>
  </si>
  <si>
    <t>13:113999724:G:A</t>
  </si>
  <si>
    <t>1:171064402:C:T</t>
  </si>
  <si>
    <t>13:114015173:G:A</t>
  </si>
  <si>
    <t>2:32575355:C:G</t>
  </si>
  <si>
    <t>8:73981217:A:G</t>
  </si>
  <si>
    <t>8:74028948:C:T</t>
  </si>
  <si>
    <t>GC</t>
  </si>
  <si>
    <t>4:77883188:A:T</t>
  </si>
  <si>
    <t>17:75851718:G:A</t>
  </si>
  <si>
    <t>4:77883189:A:T</t>
  </si>
  <si>
    <t>1:204828864:G:C</t>
  </si>
  <si>
    <t>17:75848667:A:G</t>
  </si>
  <si>
    <t>23:15270297:G:A</t>
  </si>
  <si>
    <t>8:68521960:T:C</t>
  </si>
  <si>
    <t>2:99404482:C:T</t>
  </si>
  <si>
    <t>1:220102036:G:A</t>
  </si>
  <si>
    <t>9:133713149:G:C</t>
  </si>
  <si>
    <t>9:128498584:C:T</t>
  </si>
  <si>
    <t>11:236337:C:G</t>
  </si>
  <si>
    <t>16:8919178:A:G</t>
  </si>
  <si>
    <t>4:145813395:G:GC</t>
  </si>
  <si>
    <t>2:10772027:T:G</t>
  </si>
  <si>
    <t>3:52246641:C:T</t>
  </si>
  <si>
    <t>19:39735150:C:T</t>
  </si>
  <si>
    <t>5:43543157:CATT:C</t>
  </si>
  <si>
    <t>CATT</t>
  </si>
  <si>
    <t>5:43503596:G:A</t>
  </si>
  <si>
    <t>10:71679309:A:T</t>
  </si>
  <si>
    <t xml:space="preserve">P </t>
  </si>
  <si>
    <t>RASA3</t>
  </si>
  <si>
    <t>SCORE C3 TOP 10 variants</t>
  </si>
  <si>
    <t>1:74540343:A:G</t>
  </si>
  <si>
    <t>9:6012734:A:C</t>
  </si>
  <si>
    <t>14:91608201:T:A</t>
  </si>
  <si>
    <t>23:45191866:C:T</t>
  </si>
  <si>
    <t>7:129690513:C:T</t>
  </si>
  <si>
    <t>2:236049362:G:A</t>
  </si>
  <si>
    <t>23:152759368:A:T</t>
  </si>
  <si>
    <t>SCORE A1 TOP 10 variants</t>
  </si>
  <si>
    <t>19:12391643:A:G</t>
  </si>
  <si>
    <t>20:290494:G:GC</t>
  </si>
  <si>
    <t>17:40834800:T:G</t>
  </si>
  <si>
    <t>17:40834801:T:A</t>
  </si>
  <si>
    <t>2:102423717:A:T</t>
  </si>
  <si>
    <t>14:19713343:C:T</t>
  </si>
  <si>
    <t>19:39734254:C:T</t>
  </si>
  <si>
    <t>16:8915429:A:G</t>
  </si>
  <si>
    <t>5:128186461:G:GTT</t>
  </si>
  <si>
    <t>GTT</t>
  </si>
  <si>
    <t>16:8930425:G:C</t>
  </si>
  <si>
    <t>1:185168329:A:T</t>
  </si>
  <si>
    <t>19:425182:G:A</t>
  </si>
  <si>
    <t>22:31137981:G:A</t>
  </si>
  <si>
    <t>22:43687562:T:C</t>
  </si>
  <si>
    <t>11:122862373:G:A</t>
  </si>
  <si>
    <t>5:7851068:C:A</t>
  </si>
  <si>
    <t>22:31136974:C:T</t>
  </si>
  <si>
    <t>1:24364186:G:A</t>
  </si>
  <si>
    <t>1:219610367:G:A</t>
  </si>
  <si>
    <t>19:58118469:G:GCGGGGC</t>
  </si>
  <si>
    <t>GCGGGGC</t>
  </si>
  <si>
    <t>20:8760380:C:T</t>
  </si>
  <si>
    <t>19:18061076:A:G</t>
  </si>
  <si>
    <t>20:8789635:G:A</t>
  </si>
  <si>
    <t>9:35679254:A:G</t>
  </si>
  <si>
    <t>9:128538163:G:A</t>
  </si>
  <si>
    <t>16:53494167:T:C</t>
  </si>
  <si>
    <t>9:128483873:A:G</t>
  </si>
  <si>
    <t>2:112028198:T:C</t>
  </si>
  <si>
    <t>17:11961793:G:A</t>
  </si>
  <si>
    <t>9:76096188:T:TAC</t>
  </si>
  <si>
    <t>TAC</t>
  </si>
  <si>
    <t>2:32395654:A:T</t>
  </si>
  <si>
    <t>22:43143425:A:T</t>
  </si>
  <si>
    <t>17:50675505:C:T</t>
  </si>
  <si>
    <t>16:406483:T:C</t>
  </si>
  <si>
    <t>21:43672214:G:C</t>
  </si>
  <si>
    <t>23:154428737:G:A</t>
  </si>
  <si>
    <t>11:10028610:T:A</t>
  </si>
  <si>
    <t>5:170288034:A:G</t>
  </si>
  <si>
    <t>12:40309185:G:A</t>
  </si>
  <si>
    <t>23:154444186:T:C</t>
  </si>
  <si>
    <t xml:space="preserve">MROH9 </t>
  </si>
  <si>
    <t>BIRC6</t>
  </si>
  <si>
    <t>TMEM70</t>
  </si>
  <si>
    <t xml:space="preserve">MCAT </t>
  </si>
  <si>
    <t xml:space="preserve">ZNF799 </t>
  </si>
  <si>
    <t>ABCC3</t>
  </si>
  <si>
    <t>DECR2</t>
  </si>
  <si>
    <t xml:space="preserve">RRP1B </t>
  </si>
  <si>
    <t>SCORE C2 TOP 10 variants</t>
  </si>
  <si>
    <t>LY96</t>
  </si>
  <si>
    <t>C20orf96</t>
  </si>
  <si>
    <t xml:space="preserve">MRPL1 </t>
  </si>
  <si>
    <t>WBP2</t>
  </si>
  <si>
    <t>MRPL1</t>
  </si>
  <si>
    <t>NFASC</t>
  </si>
  <si>
    <t>RILPL2</t>
  </si>
  <si>
    <t>ASB9</t>
  </si>
  <si>
    <t>C8orf34</t>
  </si>
  <si>
    <t xml:space="preserve">REV1 </t>
  </si>
  <si>
    <t>IARS2</t>
  </si>
  <si>
    <t>SARDH</t>
  </si>
  <si>
    <t>PSMD13</t>
  </si>
  <si>
    <t>ZSCAN18</t>
  </si>
  <si>
    <t>SCORE C1 TOP 10 variants</t>
  </si>
  <si>
    <t>SCORE B1 TOP 10 variants</t>
  </si>
  <si>
    <t>SCORE B3 TOP 10 variants</t>
  </si>
  <si>
    <t xml:space="preserve">TBC1D19 </t>
  </si>
  <si>
    <t xml:space="preserve">GSAP </t>
  </si>
  <si>
    <t>SHC2</t>
  </si>
  <si>
    <t>NUGGC</t>
  </si>
  <si>
    <t>PLA2G3</t>
  </si>
  <si>
    <t>EFCAB6</t>
  </si>
  <si>
    <t xml:space="preserve">BTAF1 </t>
  </si>
  <si>
    <t xml:space="preserve">MERTK </t>
  </si>
  <si>
    <t xml:space="preserve">CYLC1 </t>
  </si>
  <si>
    <t>SCORE B2 TOP 10 variants</t>
  </si>
  <si>
    <t xml:space="preserve">UTRN </t>
  </si>
  <si>
    <t>SCORE A3 TOP 10 variants</t>
  </si>
  <si>
    <t>USP7</t>
  </si>
  <si>
    <t>ZNF827</t>
  </si>
  <si>
    <t>ATP6V1C2</t>
  </si>
  <si>
    <t>PPM1M</t>
  </si>
  <si>
    <t xml:space="preserve">ABCC4 </t>
  </si>
  <si>
    <t>TNNI3K</t>
  </si>
  <si>
    <t>CLC</t>
  </si>
  <si>
    <t xml:space="preserve">PAIP1 </t>
  </si>
  <si>
    <t>KRT10-AS1</t>
  </si>
  <si>
    <t>IL18RAP</t>
  </si>
  <si>
    <t>SCORE A2 TOP 10 variants</t>
  </si>
  <si>
    <t xml:space="preserve">CDH23 </t>
  </si>
  <si>
    <t xml:space="preserve">ATP6V1C2 </t>
  </si>
  <si>
    <t xml:space="preserve">RANBP6 </t>
  </si>
  <si>
    <t>CATSPERB</t>
  </si>
  <si>
    <t xml:space="preserve">Resume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</si>
</sst>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rgb="FF000000"/>
      <name val="Arial"/>
      <family val="2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65"/>
        <bgColor theme="0"/>
      </patternFill>
    </fill>
    <fill>
      <patternFill patternType="solid">
        <fgColor rgb="FFD9D9D9"/>
        <bgColor rgb="FF000000"/>
      </patternFill>
    </fill>
    <fill>
      <patternFill patternType="solid">
        <fgColor rgb="FFD0D0D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/>
    <xf numFmtId="0" fontId="5" fillId="4" borderId="1" xfId="0" applyFont="1" applyFill="1" applyBorder="1"/>
    <xf numFmtId="11" fontId="5" fillId="5" borderId="1" xfId="0" applyNumberFormat="1" applyFont="1" applyFill="1" applyBorder="1"/>
    <xf numFmtId="11" fontId="5" fillId="4" borderId="1" xfId="0" applyNumberFormat="1" applyFont="1" applyFill="1" applyBorder="1"/>
    <xf numFmtId="0" fontId="5" fillId="5" borderId="1" xfId="0" applyFont="1" applyFill="1" applyBorder="1"/>
    <xf numFmtId="0" fontId="3" fillId="0" borderId="0" xfId="0" applyFont="1" applyAlignment="1">
      <alignment horizontal="center" vertical="center"/>
    </xf>
    <xf numFmtId="1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vertical="center"/>
    </xf>
    <xf numFmtId="0" fontId="8" fillId="0" borderId="0" xfId="0" applyFont="1"/>
    <xf numFmtId="11" fontId="8" fillId="0" borderId="0" xfId="0" applyNumberFormat="1" applyFont="1"/>
    <xf numFmtId="0" fontId="5" fillId="0" borderId="0" xfId="0" applyFont="1"/>
    <xf numFmtId="0" fontId="2" fillId="0" borderId="0" xfId="0" applyFont="1" applyAlignment="1">
      <alignment horizontal="left" vertical="center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5" fillId="6" borderId="1" xfId="0" applyFont="1" applyFill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5" fillId="0" borderId="13" xfId="0" applyFont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5" fillId="0" borderId="15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4" fillId="0" borderId="0" xfId="0" applyFont="1" applyFill="1" applyBorder="1" applyAlignment="1">
      <alignment horizontal="center"/>
    </xf>
    <xf numFmtId="0" fontId="10" fillId="9" borderId="14" xfId="0" applyFont="1" applyFill="1" applyBorder="1"/>
    <xf numFmtId="0" fontId="10" fillId="9" borderId="10" xfId="0" applyFont="1" applyFill="1" applyBorder="1"/>
    <xf numFmtId="0" fontId="9" fillId="0" borderId="14" xfId="0" applyFont="1" applyBorder="1" applyAlignment="1">
      <alignment horizontal="right"/>
    </xf>
    <xf numFmtId="0" fontId="9" fillId="0" borderId="10" xfId="0" applyFont="1" applyBorder="1" applyAlignment="1">
      <alignment horizontal="right"/>
    </xf>
    <xf numFmtId="11" fontId="9" fillId="0" borderId="10" xfId="0" applyNumberFormat="1" applyFont="1" applyBorder="1" applyAlignment="1">
      <alignment horizontal="right"/>
    </xf>
    <xf numFmtId="0" fontId="9" fillId="0" borderId="14" xfId="0" applyFont="1" applyBorder="1"/>
    <xf numFmtId="0" fontId="9" fillId="0" borderId="10" xfId="0" applyFont="1" applyBorder="1"/>
    <xf numFmtId="11" fontId="9" fillId="0" borderId="10" xfId="0" applyNumberFormat="1" applyFont="1" applyBorder="1"/>
    <xf numFmtId="0" fontId="10" fillId="8" borderId="3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8" borderId="5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4" borderId="0" xfId="0" applyFont="1" applyFill="1"/>
  </cellXfs>
  <cellStyles count="1">
    <cellStyle name="Normal" xfId="0" builtinId="0"/>
  </cellStyles>
  <dxfs count="29">
    <dxf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5" formatCode="0.00E+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5" formatCode="0.00E+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indent="0" justifyLastLine="0" shrinkToFit="0" readingOrder="0"/>
    </dxf>
    <dxf>
      <fill>
        <patternFill patternType="solid">
          <bgColor rgb="FFF3E7FF"/>
        </patternFill>
      </fill>
      <border>
        <left style="slantDashDot">
          <color theme="8" tint="0.39994506668294322"/>
        </left>
        <right style="slantDashDot">
          <color theme="8" tint="0.39994506668294322"/>
        </right>
        <top style="slantDashDot">
          <color theme="8" tint="0.39994506668294322"/>
        </top>
        <bottom style="slantDashDot">
          <color theme="8" tint="0.39994506668294322"/>
        </bottom>
        <vertical style="slantDashDot">
          <color theme="8" tint="0.39994506668294322"/>
        </vertical>
        <horizontal style="slantDashDot">
          <color theme="8" tint="0.39994506668294322"/>
        </horizontal>
      </border>
    </dxf>
    <dxf>
      <fill>
        <patternFill>
          <f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Table Style 1" pivot="0" count="2" xr9:uid="{33E76476-3BA7-9C42-87EB-3912E4EBB791}">
      <tableStyleElement type="wholeTable" dxfId="28"/>
      <tableStyleElement type="firstColumn" dxfId="27"/>
    </tableStyle>
  </tableStyles>
  <colors>
    <mruColors>
      <color rgb="FFF3E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95B8AF-ED3C-3F49-9646-84C9A4C2639C}" name="Table2" displayName="Table2" ref="A2:W63" headerRowDxfId="26" dataDxfId="25" totalsRowDxfId="24">
  <autoFilter ref="A2:W63" xr:uid="{9495B8AF-ED3C-3F49-9646-84C9A4C2639C}"/>
  <sortState xmlns:xlrd2="http://schemas.microsoft.com/office/spreadsheetml/2017/richdata2" ref="A3:W63">
    <sortCondition ref="N2:N63"/>
  </sortState>
  <tableColumns count="23">
    <tableColumn id="1" xr3:uid="{9BD564D5-22A6-9841-8753-D6A3682D34F6}" name="SCORE" totalsRowLabel="Total" dataDxfId="23"/>
    <tableColumn id="2" xr3:uid="{20C33DE4-2029-2F46-BB8F-041CD3BDBC77}" name="CHR" dataDxfId="22"/>
    <tableColumn id="3" xr3:uid="{4CFE9B3C-66D2-2E47-BE26-F91B31CF94E7}" name="SNP" dataDxfId="21"/>
    <tableColumn id="4" xr3:uid="{9A0A0153-7C63-BB44-B2F8-1B60AEE43758}" name="POS" dataDxfId="20"/>
    <tableColumn id="5" xr3:uid="{6A9A58AA-B487-C748-92AC-A8C43D7998E6}" name="A1" dataDxfId="19"/>
    <tableColumn id="6" xr3:uid="{8A7EB034-1EC5-3644-9D90-47088DF4FAFB}" name="A2" dataDxfId="18"/>
    <tableColumn id="7" xr3:uid="{1755D63D-9D80-D145-837F-FD7D3EA19890}" name="N" dataDxfId="17"/>
    <tableColumn id="8" xr3:uid="{133EDB3E-C219-2E4B-AA76-46A9E3E90A87}" name="AF1" dataDxfId="16"/>
    <tableColumn id="9" xr3:uid="{853719F7-EEEE-844A-8102-9582F02560D5}" name="T" dataDxfId="15"/>
    <tableColumn id="10" xr3:uid="{8CE44BD6-A80C-1045-A7C4-777CD1590C16}" name="SE_T" dataDxfId="14"/>
    <tableColumn id="11" xr3:uid="{98E99C68-727C-6F42-87B0-48C5340F402A}" name="P_noSPA" dataDxfId="13"/>
    <tableColumn id="12" xr3:uid="{31E12DC4-7DF7-6A40-B4CA-955CA8E34C68}" name="BETA" dataDxfId="12"/>
    <tableColumn id="13" xr3:uid="{48252F7B-54FD-634D-B7F9-F55707FF387B}" name="SE" dataDxfId="11"/>
    <tableColumn id="14" xr3:uid="{D003FEE8-3899-854E-BAA1-613B9C4B0E84}" name="P" dataDxfId="10"/>
    <tableColumn id="15" xr3:uid="{05006F88-FFDF-424F-803F-FF86AC32F23A}" name="rsID" dataDxfId="9"/>
    <tableColumn id="16" xr3:uid="{BC8CE643-CCCA-F341-A043-B2DDD6A534B4}" name="Cases w/ variant" dataDxfId="8"/>
    <tableColumn id="17" xr3:uid="{6619DC72-D33C-934E-B171-F0717B911D29}" name="Controls w/ variant" dataDxfId="7"/>
    <tableColumn id="18" xr3:uid="{17304774-A402-E94A-9CB3-95B11A0F46FA}" name="Clinvar" dataDxfId="6"/>
    <tableColumn id="19" xr3:uid="{F6419CCC-2AB8-054B-A035-964EDD0E85D1}" name="eQTL" dataDxfId="5"/>
    <tableColumn id="20" xr3:uid="{A6BB8F34-939A-E942-ADA5-D6506826AFBE}" name="Functional Consequence" dataDxfId="4"/>
    <tableColumn id="21" xr3:uid="{19A02268-B20F-C24A-A668-80F08F0477C5}" name="Gene" dataDxfId="3"/>
    <tableColumn id="22" xr3:uid="{CD15DDBC-A817-424E-9431-A787632A16E1}" name="GWAS Catalog" dataDxfId="2"/>
    <tableColumn id="23" xr3:uid="{502443E5-7CDF-D243-BA4F-C056B8A6D002}" name="Asociado a SOP" totalsRowFunction="count" dataDxfId="1" totalsRowDxfId="0"/>
  </tableColumns>
  <tableStyleInfo name="Table Style 1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45536-7DC4-6845-B9ED-2FE50A6E016E}">
  <dimension ref="A1:M38"/>
  <sheetViews>
    <sheetView showGridLines="0" zoomScale="110" zoomScaleNormal="110" workbookViewId="0">
      <selection activeCell="I36" sqref="I36"/>
    </sheetView>
  </sheetViews>
  <sheetFormatPr baseColWidth="10" defaultRowHeight="16" x14ac:dyDescent="0.2"/>
  <cols>
    <col min="2" max="2" width="19.83203125" customWidth="1"/>
    <col min="3" max="3" width="21.33203125" customWidth="1"/>
    <col min="4" max="4" width="10.83203125" customWidth="1"/>
    <col min="7" max="7" width="17" customWidth="1"/>
    <col min="8" max="8" width="12.6640625" customWidth="1"/>
  </cols>
  <sheetData>
    <row r="1" spans="1:13" x14ac:dyDescent="0.2">
      <c r="A1" s="25" t="s">
        <v>0</v>
      </c>
      <c r="B1" s="26"/>
      <c r="C1" s="26"/>
      <c r="D1" s="26"/>
      <c r="E1" s="26"/>
      <c r="F1" s="27"/>
      <c r="H1" s="58"/>
      <c r="I1" s="58"/>
      <c r="J1" s="58"/>
      <c r="K1" s="58"/>
      <c r="L1" s="58"/>
      <c r="M1" s="58"/>
    </row>
    <row r="2" spans="1:13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129</v>
      </c>
      <c r="H2" s="58"/>
      <c r="I2" s="58"/>
      <c r="J2" s="58"/>
      <c r="K2" s="58"/>
      <c r="L2" s="58"/>
      <c r="M2" s="58"/>
    </row>
    <row r="3" spans="1:13" x14ac:dyDescent="0.2">
      <c r="A3" s="2" t="s">
        <v>70</v>
      </c>
      <c r="B3" s="3" t="s">
        <v>7</v>
      </c>
      <c r="C3" s="3">
        <v>0.61299099999999995</v>
      </c>
      <c r="D3" s="3">
        <v>-0.16609299999999999</v>
      </c>
      <c r="E3" s="4">
        <v>2.9184800000000001E-27</v>
      </c>
      <c r="F3" s="3" t="s">
        <v>14</v>
      </c>
      <c r="H3" s="58"/>
      <c r="I3" s="58"/>
      <c r="J3" s="58"/>
      <c r="K3" s="58"/>
      <c r="L3" s="58"/>
      <c r="M3" s="58"/>
    </row>
    <row r="4" spans="1:13" x14ac:dyDescent="0.2">
      <c r="A4" s="2" t="s">
        <v>70</v>
      </c>
      <c r="B4" s="3" t="s">
        <v>7</v>
      </c>
      <c r="C4" s="3">
        <v>0.61298799999999998</v>
      </c>
      <c r="D4" s="3">
        <v>-0.155447</v>
      </c>
      <c r="E4" s="5">
        <v>2.2359399999999999E-25</v>
      </c>
      <c r="F4" s="3" t="s">
        <v>14</v>
      </c>
      <c r="H4" s="58"/>
      <c r="I4" s="58"/>
      <c r="J4" s="58"/>
      <c r="K4" s="58"/>
      <c r="L4" s="58"/>
      <c r="M4" s="58"/>
    </row>
    <row r="5" spans="1:13" x14ac:dyDescent="0.2">
      <c r="A5" s="2" t="s">
        <v>71</v>
      </c>
      <c r="B5" s="3" t="s">
        <v>16</v>
      </c>
      <c r="C5" s="6">
        <v>0.63436800000000004</v>
      </c>
      <c r="D5" s="6">
        <v>-0.158694</v>
      </c>
      <c r="E5" s="4">
        <v>6.8397299999999996E-25</v>
      </c>
      <c r="F5" s="3" t="s">
        <v>14</v>
      </c>
      <c r="H5" s="58"/>
      <c r="I5" s="58"/>
      <c r="J5" s="58"/>
      <c r="K5" s="58"/>
      <c r="L5" s="58"/>
      <c r="M5" s="58"/>
    </row>
    <row r="6" spans="1:13" x14ac:dyDescent="0.2">
      <c r="A6" s="2" t="s">
        <v>102</v>
      </c>
      <c r="B6" s="3" t="s">
        <v>16</v>
      </c>
      <c r="C6" s="3">
        <v>0.63402000000000003</v>
      </c>
      <c r="D6" s="3">
        <v>-0.146985</v>
      </c>
      <c r="E6" s="5">
        <v>9.4299999999999997E-23</v>
      </c>
      <c r="F6" s="3" t="s">
        <v>14</v>
      </c>
      <c r="H6" s="58"/>
      <c r="I6" s="58"/>
      <c r="J6" s="58"/>
      <c r="K6" s="58"/>
      <c r="L6" s="58"/>
      <c r="M6" s="58"/>
    </row>
    <row r="7" spans="1:13" x14ac:dyDescent="0.2">
      <c r="A7" s="2" t="s">
        <v>38</v>
      </c>
      <c r="B7" s="6" t="s">
        <v>20</v>
      </c>
      <c r="C7" s="6">
        <v>0.48229100000000003</v>
      </c>
      <c r="D7" s="6">
        <v>-0.14885000000000001</v>
      </c>
      <c r="E7" s="4">
        <v>3.3662099999999999E-17</v>
      </c>
      <c r="F7" s="6" t="s">
        <v>22</v>
      </c>
      <c r="H7" s="58"/>
      <c r="I7" s="58"/>
      <c r="J7" s="58"/>
      <c r="K7" s="58"/>
      <c r="L7" s="58"/>
      <c r="M7" s="58"/>
    </row>
    <row r="8" spans="1:13" x14ac:dyDescent="0.2">
      <c r="A8" s="2" t="s">
        <v>38</v>
      </c>
      <c r="B8" s="3" t="s">
        <v>24</v>
      </c>
      <c r="C8" s="3">
        <v>0.46512500000000001</v>
      </c>
      <c r="D8" s="3">
        <v>-0.14441499999999999</v>
      </c>
      <c r="E8" s="5">
        <v>3.92863E-17</v>
      </c>
      <c r="F8" s="3" t="s">
        <v>26</v>
      </c>
      <c r="H8" s="58"/>
      <c r="I8" s="58"/>
      <c r="J8" s="58"/>
      <c r="K8" s="58"/>
      <c r="L8" s="58"/>
      <c r="M8" s="58"/>
    </row>
    <row r="9" spans="1:13" x14ac:dyDescent="0.2">
      <c r="A9" s="2" t="s">
        <v>29</v>
      </c>
      <c r="B9" s="6" t="s">
        <v>24</v>
      </c>
      <c r="C9" s="6">
        <v>0.46556900000000001</v>
      </c>
      <c r="D9" s="6">
        <v>-0.137485</v>
      </c>
      <c r="E9" s="4">
        <v>1.6803400000000001E-16</v>
      </c>
      <c r="F9" s="3" t="s">
        <v>26</v>
      </c>
      <c r="H9" s="58"/>
      <c r="I9" s="58"/>
      <c r="J9" s="58"/>
      <c r="K9" s="58"/>
      <c r="L9" s="58"/>
      <c r="M9" s="58"/>
    </row>
    <row r="10" spans="1:13" x14ac:dyDescent="0.2">
      <c r="A10" s="2" t="s">
        <v>29</v>
      </c>
      <c r="B10" s="3" t="s">
        <v>20</v>
      </c>
      <c r="C10" s="3">
        <v>0.48160700000000001</v>
      </c>
      <c r="D10" s="3">
        <v>-0.13791400000000001</v>
      </c>
      <c r="E10" s="5">
        <v>9.9115600000000005E-16</v>
      </c>
      <c r="F10" s="3" t="s">
        <v>22</v>
      </c>
      <c r="H10" s="58"/>
      <c r="I10" s="58"/>
      <c r="J10" s="58"/>
      <c r="K10" s="58"/>
      <c r="L10" s="58"/>
      <c r="M10" s="58"/>
    </row>
    <row r="11" spans="1:13" x14ac:dyDescent="0.2">
      <c r="A11" s="2" t="s">
        <v>38</v>
      </c>
      <c r="B11" s="6" t="s">
        <v>30</v>
      </c>
      <c r="C11" s="6">
        <v>0.51123399999999997</v>
      </c>
      <c r="D11" s="6">
        <v>-0.13436899999999999</v>
      </c>
      <c r="E11" s="4">
        <v>1.1076000000000001E-15</v>
      </c>
      <c r="F11" s="6" t="s">
        <v>34</v>
      </c>
      <c r="H11" s="58"/>
      <c r="I11" s="58"/>
      <c r="J11" s="58"/>
      <c r="K11" s="58"/>
      <c r="L11" s="58"/>
      <c r="M11" s="58"/>
    </row>
    <row r="12" spans="1:13" x14ac:dyDescent="0.2">
      <c r="A12" s="2" t="s">
        <v>38</v>
      </c>
      <c r="B12" s="3" t="s">
        <v>36</v>
      </c>
      <c r="C12" s="3">
        <v>0.53800999999999999</v>
      </c>
      <c r="D12" s="3">
        <v>-0.12971299999999999</v>
      </c>
      <c r="E12" s="5">
        <v>4.5062699999999998E-15</v>
      </c>
      <c r="F12" s="3" t="s">
        <v>34</v>
      </c>
      <c r="H12" s="58"/>
      <c r="I12" s="58"/>
      <c r="J12" s="58"/>
      <c r="K12" s="58"/>
      <c r="L12" s="58"/>
      <c r="M12" s="58"/>
    </row>
    <row r="15" spans="1:13" x14ac:dyDescent="0.2">
      <c r="A15" s="25" t="s">
        <v>155</v>
      </c>
      <c r="B15" s="26"/>
      <c r="C15" s="26"/>
      <c r="D15" s="26"/>
      <c r="E15" s="26"/>
      <c r="F15" s="27"/>
    </row>
    <row r="16" spans="1:13" x14ac:dyDescent="0.2">
      <c r="A16" s="16" t="s">
        <v>39</v>
      </c>
      <c r="B16" s="1" t="s">
        <v>2</v>
      </c>
      <c r="C16" s="1" t="s">
        <v>6</v>
      </c>
      <c r="D16" s="34" t="s">
        <v>140</v>
      </c>
      <c r="E16" s="35"/>
      <c r="F16" s="36"/>
    </row>
    <row r="17" spans="1:6" ht="16" customHeight="1" x14ac:dyDescent="0.2">
      <c r="A17" s="28" t="s">
        <v>14</v>
      </c>
      <c r="B17" s="10" t="s">
        <v>7</v>
      </c>
      <c r="C17" s="29" t="s">
        <v>15</v>
      </c>
      <c r="D17" s="46" t="s">
        <v>137</v>
      </c>
      <c r="E17" s="47"/>
      <c r="F17" s="48"/>
    </row>
    <row r="18" spans="1:6" x14ac:dyDescent="0.2">
      <c r="A18" s="28"/>
      <c r="B18" s="10" t="s">
        <v>16</v>
      </c>
      <c r="C18" s="30"/>
      <c r="D18" s="49"/>
      <c r="E18" s="50"/>
      <c r="F18" s="51"/>
    </row>
    <row r="19" spans="1:6" ht="28" customHeight="1" x14ac:dyDescent="0.2">
      <c r="A19" s="17" t="s">
        <v>22</v>
      </c>
      <c r="B19" s="10" t="s">
        <v>20</v>
      </c>
      <c r="C19" s="10" t="s">
        <v>23</v>
      </c>
      <c r="D19" s="31" t="s">
        <v>138</v>
      </c>
      <c r="E19" s="32"/>
      <c r="F19" s="33"/>
    </row>
    <row r="20" spans="1:6" ht="16" customHeight="1" x14ac:dyDescent="0.2">
      <c r="A20" s="28" t="s">
        <v>26</v>
      </c>
      <c r="B20" s="10" t="s">
        <v>41</v>
      </c>
      <c r="C20" s="37" t="s">
        <v>27</v>
      </c>
      <c r="D20" s="40" t="s">
        <v>139</v>
      </c>
      <c r="E20" s="41"/>
      <c r="F20" s="42"/>
    </row>
    <row r="21" spans="1:6" x14ac:dyDescent="0.2">
      <c r="A21" s="28"/>
      <c r="B21" s="10" t="s">
        <v>24</v>
      </c>
      <c r="C21" s="38"/>
      <c r="D21" s="43"/>
      <c r="E21" s="44"/>
      <c r="F21" s="45"/>
    </row>
    <row r="22" spans="1:6" ht="16" customHeight="1" x14ac:dyDescent="0.2">
      <c r="A22" s="28" t="s">
        <v>34</v>
      </c>
      <c r="B22" s="10" t="s">
        <v>30</v>
      </c>
      <c r="C22" s="29" t="s">
        <v>35</v>
      </c>
      <c r="D22" s="46" t="s">
        <v>141</v>
      </c>
      <c r="E22" s="47"/>
      <c r="F22" s="48"/>
    </row>
    <row r="23" spans="1:6" x14ac:dyDescent="0.2">
      <c r="A23" s="28"/>
      <c r="B23" s="10" t="s">
        <v>36</v>
      </c>
      <c r="C23" s="39"/>
      <c r="D23" s="52"/>
      <c r="E23" s="53"/>
      <c r="F23" s="54"/>
    </row>
    <row r="24" spans="1:6" x14ac:dyDescent="0.2">
      <c r="A24" s="28"/>
      <c r="B24" s="10" t="s">
        <v>42</v>
      </c>
      <c r="C24" s="39"/>
      <c r="D24" s="52"/>
      <c r="E24" s="53"/>
      <c r="F24" s="54"/>
    </row>
    <row r="25" spans="1:6" x14ac:dyDescent="0.2">
      <c r="A25" s="28"/>
      <c r="B25" s="10" t="s">
        <v>40</v>
      </c>
      <c r="C25" s="39"/>
      <c r="D25" s="52"/>
      <c r="E25" s="53"/>
      <c r="F25" s="54"/>
    </row>
    <row r="26" spans="1:6" x14ac:dyDescent="0.2">
      <c r="A26" s="28"/>
      <c r="B26" s="10" t="s">
        <v>43</v>
      </c>
      <c r="C26" s="30"/>
      <c r="D26" s="49"/>
      <c r="E26" s="50"/>
      <c r="F26" s="51"/>
    </row>
    <row r="27" spans="1:6" ht="16" customHeight="1" x14ac:dyDescent="0.2">
      <c r="A27" s="17" t="s">
        <v>44</v>
      </c>
      <c r="B27" s="10" t="s">
        <v>45</v>
      </c>
      <c r="C27" s="10" t="s">
        <v>86</v>
      </c>
      <c r="D27" s="22" t="s">
        <v>142</v>
      </c>
      <c r="E27" s="23"/>
      <c r="F27" s="24"/>
    </row>
    <row r="28" spans="1:6" ht="16" customHeight="1" x14ac:dyDescent="0.2">
      <c r="A28" s="17" t="s">
        <v>47</v>
      </c>
      <c r="B28" s="10" t="s">
        <v>46</v>
      </c>
      <c r="C28" s="10" t="s">
        <v>132</v>
      </c>
      <c r="D28" s="22" t="s">
        <v>142</v>
      </c>
      <c r="E28" s="23"/>
      <c r="F28" s="24"/>
    </row>
    <row r="29" spans="1:6" ht="45" customHeight="1" x14ac:dyDescent="0.2">
      <c r="A29" s="17" t="s">
        <v>49</v>
      </c>
      <c r="B29" s="10" t="s">
        <v>48</v>
      </c>
      <c r="C29" s="10" t="s">
        <v>94</v>
      </c>
      <c r="D29" s="22" t="s">
        <v>143</v>
      </c>
      <c r="E29" s="23"/>
      <c r="F29" s="24"/>
    </row>
    <row r="30" spans="1:6" ht="28" customHeight="1" x14ac:dyDescent="0.2">
      <c r="A30" s="17" t="s">
        <v>51</v>
      </c>
      <c r="B30" s="10" t="s">
        <v>50</v>
      </c>
      <c r="C30" s="10" t="s">
        <v>133</v>
      </c>
      <c r="D30" s="22" t="s">
        <v>144</v>
      </c>
      <c r="E30" s="23"/>
      <c r="F30" s="24"/>
    </row>
    <row r="31" spans="1:6" ht="16" customHeight="1" x14ac:dyDescent="0.2">
      <c r="A31" s="17" t="s">
        <v>52</v>
      </c>
      <c r="B31" s="10" t="s">
        <v>53</v>
      </c>
      <c r="C31" s="10" t="s">
        <v>100</v>
      </c>
      <c r="D31" s="22" t="s">
        <v>142</v>
      </c>
      <c r="E31" s="23"/>
      <c r="F31" s="24"/>
    </row>
    <row r="32" spans="1:6" ht="16" customHeight="1" x14ac:dyDescent="0.2">
      <c r="A32" s="17" t="s">
        <v>54</v>
      </c>
      <c r="B32" s="10" t="s">
        <v>55</v>
      </c>
      <c r="C32" s="10" t="s">
        <v>107</v>
      </c>
      <c r="D32" s="22" t="s">
        <v>142</v>
      </c>
      <c r="E32" s="23"/>
      <c r="F32" s="24"/>
    </row>
    <row r="33" spans="1:6" ht="27" customHeight="1" x14ac:dyDescent="0.2">
      <c r="A33" s="17" t="s">
        <v>57</v>
      </c>
      <c r="B33" s="10" t="s">
        <v>56</v>
      </c>
      <c r="C33" s="10" t="s">
        <v>112</v>
      </c>
      <c r="D33" s="22" t="s">
        <v>145</v>
      </c>
      <c r="E33" s="23"/>
      <c r="F33" s="24"/>
    </row>
    <row r="34" spans="1:6" ht="28" customHeight="1" x14ac:dyDescent="0.2">
      <c r="A34" s="17" t="s">
        <v>58</v>
      </c>
      <c r="B34" s="10" t="s">
        <v>59</v>
      </c>
      <c r="C34" s="11" t="s">
        <v>134</v>
      </c>
      <c r="D34" s="22" t="s">
        <v>146</v>
      </c>
      <c r="E34" s="23"/>
      <c r="F34" s="24"/>
    </row>
    <row r="35" spans="1:6" x14ac:dyDescent="0.2">
      <c r="A35" s="17" t="s">
        <v>60</v>
      </c>
      <c r="B35" s="10" t="s">
        <v>61</v>
      </c>
      <c r="C35" s="12" t="s">
        <v>28</v>
      </c>
      <c r="D35" s="55" t="s">
        <v>141</v>
      </c>
      <c r="E35" s="56"/>
      <c r="F35" s="57"/>
    </row>
    <row r="36" spans="1:6" ht="44" customHeight="1" x14ac:dyDescent="0.2">
      <c r="A36" s="17" t="s">
        <v>63</v>
      </c>
      <c r="B36" s="10" t="s">
        <v>62</v>
      </c>
      <c r="C36" s="10" t="s">
        <v>122</v>
      </c>
      <c r="D36" s="22" t="s">
        <v>147</v>
      </c>
      <c r="E36" s="23"/>
      <c r="F36" s="24"/>
    </row>
    <row r="37" spans="1:6" ht="16" customHeight="1" x14ac:dyDescent="0.2">
      <c r="A37" s="17" t="s">
        <v>65</v>
      </c>
      <c r="B37" s="10" t="s">
        <v>64</v>
      </c>
      <c r="C37" s="10" t="s">
        <v>135</v>
      </c>
      <c r="D37" s="22" t="s">
        <v>142</v>
      </c>
      <c r="E37" s="23"/>
      <c r="F37" s="24"/>
    </row>
    <row r="38" spans="1:6" ht="31" customHeight="1" x14ac:dyDescent="0.2">
      <c r="A38" s="17" t="s">
        <v>66</v>
      </c>
      <c r="B38" s="10" t="s">
        <v>67</v>
      </c>
      <c r="C38" s="10" t="s">
        <v>136</v>
      </c>
      <c r="D38" s="22" t="s">
        <v>148</v>
      </c>
      <c r="E38" s="23"/>
      <c r="F38" s="24"/>
    </row>
  </sheetData>
  <mergeCells count="26">
    <mergeCell ref="D36:F36"/>
    <mergeCell ref="D37:F37"/>
    <mergeCell ref="D38:F38"/>
    <mergeCell ref="D16:F16"/>
    <mergeCell ref="A20:A21"/>
    <mergeCell ref="C20:C21"/>
    <mergeCell ref="C22:C26"/>
    <mergeCell ref="D20:F21"/>
    <mergeCell ref="D17:F18"/>
    <mergeCell ref="D22:F26"/>
    <mergeCell ref="D31:F31"/>
    <mergeCell ref="D32:F32"/>
    <mergeCell ref="D33:F33"/>
    <mergeCell ref="D34:F34"/>
    <mergeCell ref="D35:F35"/>
    <mergeCell ref="D27:F27"/>
    <mergeCell ref="D28:F28"/>
    <mergeCell ref="D29:F29"/>
    <mergeCell ref="D30:F30"/>
    <mergeCell ref="A15:F15"/>
    <mergeCell ref="A1:F1"/>
    <mergeCell ref="A17:A18"/>
    <mergeCell ref="A22:A26"/>
    <mergeCell ref="C17:C18"/>
    <mergeCell ref="D19:F19"/>
    <mergeCell ref="H1:M1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53954-9B06-0541-B162-073BF04BFAEE}">
  <dimension ref="A1:W63"/>
  <sheetViews>
    <sheetView showGridLines="0" topLeftCell="C1" zoomScale="75" zoomScaleNormal="111" workbookViewId="0">
      <pane ySplit="2" topLeftCell="A3" activePane="bottomLeft" state="frozen"/>
      <selection activeCell="I36" sqref="I36"/>
      <selection pane="bottomLeft" activeCell="I36" sqref="I36"/>
    </sheetView>
  </sheetViews>
  <sheetFormatPr baseColWidth="10" defaultRowHeight="16" x14ac:dyDescent="0.2"/>
  <cols>
    <col min="1" max="2" width="10.83203125" style="7"/>
    <col min="3" max="3" width="22.6640625" style="7" customWidth="1"/>
    <col min="4" max="11" width="10.83203125" style="7"/>
    <col min="12" max="12" width="13" style="7" customWidth="1"/>
    <col min="13" max="14" width="10.83203125" style="7"/>
    <col min="15" max="15" width="15.5" style="7" customWidth="1"/>
    <col min="16" max="16" width="19.33203125" style="7" customWidth="1"/>
    <col min="17" max="17" width="17.6640625" style="7" customWidth="1"/>
    <col min="18" max="18" width="23.6640625" style="7" customWidth="1"/>
    <col min="19" max="19" width="25.6640625" style="9" customWidth="1"/>
    <col min="20" max="20" width="25.33203125" style="7" customWidth="1"/>
    <col min="21" max="21" width="10.83203125" style="7"/>
    <col min="22" max="22" width="46" style="7" customWidth="1"/>
    <col min="23" max="23" width="51.83203125" style="7" customWidth="1"/>
    <col min="24" max="16384" width="10.83203125" style="7"/>
  </cols>
  <sheetData>
    <row r="1" spans="1:23" ht="43" customHeight="1" x14ac:dyDescent="0.2">
      <c r="A1" s="21" t="s">
        <v>156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</row>
    <row r="2" spans="1:23" ht="17" x14ac:dyDescent="0.2">
      <c r="A2" s="14" t="s">
        <v>1</v>
      </c>
      <c r="B2" s="14" t="s">
        <v>68</v>
      </c>
      <c r="C2" s="14" t="s">
        <v>2</v>
      </c>
      <c r="D2" s="14" t="s">
        <v>69</v>
      </c>
      <c r="E2" s="14" t="s">
        <v>70</v>
      </c>
      <c r="F2" s="14" t="s">
        <v>71</v>
      </c>
      <c r="G2" s="14" t="s">
        <v>72</v>
      </c>
      <c r="H2" s="14" t="s">
        <v>3</v>
      </c>
      <c r="I2" s="14" t="s">
        <v>9</v>
      </c>
      <c r="J2" s="14" t="s">
        <v>73</v>
      </c>
      <c r="K2" s="14" t="s">
        <v>74</v>
      </c>
      <c r="L2" s="14" t="s">
        <v>4</v>
      </c>
      <c r="M2" s="14" t="s">
        <v>75</v>
      </c>
      <c r="N2" s="14" t="s">
        <v>5</v>
      </c>
      <c r="O2" s="14" t="s">
        <v>76</v>
      </c>
      <c r="P2" s="14" t="s">
        <v>130</v>
      </c>
      <c r="Q2" s="14" t="s">
        <v>131</v>
      </c>
      <c r="R2" s="14" t="s">
        <v>77</v>
      </c>
      <c r="S2" s="15" t="s">
        <v>78</v>
      </c>
      <c r="T2" s="14" t="s">
        <v>79</v>
      </c>
      <c r="U2" s="14" t="s">
        <v>157</v>
      </c>
      <c r="V2" s="14" t="s">
        <v>6</v>
      </c>
      <c r="W2" s="14" t="s">
        <v>80</v>
      </c>
    </row>
    <row r="3" spans="1:23" ht="42" customHeight="1" x14ac:dyDescent="0.2">
      <c r="A3" s="7" t="str">
        <f ca="1">A$35</f>
        <v>B1</v>
      </c>
      <c r="B3" s="7">
        <v>4</v>
      </c>
      <c r="C3" s="7" t="s">
        <v>7</v>
      </c>
      <c r="D3" s="7">
        <v>26672139</v>
      </c>
      <c r="E3" s="7" t="s">
        <v>8</v>
      </c>
      <c r="F3" s="7" t="s">
        <v>9</v>
      </c>
      <c r="G3" s="7">
        <v>19829</v>
      </c>
      <c r="H3" s="7">
        <v>0.61299099999999995</v>
      </c>
      <c r="I3" s="7">
        <v>-701.69299999999998</v>
      </c>
      <c r="J3" s="7">
        <v>64.997699999999995</v>
      </c>
      <c r="K3" s="8">
        <v>3.6085899999999998E-27</v>
      </c>
      <c r="L3" s="7">
        <v>-0.16609299999999999</v>
      </c>
      <c r="M3" s="7">
        <v>1.53574E-2</v>
      </c>
      <c r="N3" s="8">
        <v>2.9184800000000001E-27</v>
      </c>
      <c r="O3" s="7" t="s">
        <v>10</v>
      </c>
      <c r="P3" s="7">
        <v>4250</v>
      </c>
      <c r="Q3" s="7">
        <v>8828</v>
      </c>
      <c r="R3" s="7" t="s">
        <v>11</v>
      </c>
      <c r="S3" s="9" t="s">
        <v>12</v>
      </c>
      <c r="T3" s="7" t="s">
        <v>13</v>
      </c>
      <c r="U3" s="7" t="s">
        <v>14</v>
      </c>
      <c r="V3" s="7" t="s">
        <v>15</v>
      </c>
      <c r="W3" s="9" t="s">
        <v>137</v>
      </c>
    </row>
    <row r="4" spans="1:23" ht="34" x14ac:dyDescent="0.2">
      <c r="A4" s="7" t="str">
        <f ca="1">A$16</f>
        <v>B2</v>
      </c>
      <c r="B4" s="7">
        <v>4</v>
      </c>
      <c r="C4" s="7" t="s">
        <v>7</v>
      </c>
      <c r="D4" s="7">
        <v>26672139</v>
      </c>
      <c r="E4" s="7" t="s">
        <v>8</v>
      </c>
      <c r="F4" s="7" t="s">
        <v>9</v>
      </c>
      <c r="G4" s="7">
        <v>21936</v>
      </c>
      <c r="H4" s="7">
        <v>0.61298799999999998</v>
      </c>
      <c r="I4" s="7">
        <v>-695.51800000000003</v>
      </c>
      <c r="J4" s="7">
        <v>66.890199999999993</v>
      </c>
      <c r="K4" s="8">
        <v>2.5343899999999999E-25</v>
      </c>
      <c r="L4" s="7">
        <v>-0.155447</v>
      </c>
      <c r="M4" s="7">
        <v>1.49327E-2</v>
      </c>
      <c r="N4" s="8">
        <v>2.2359399999999999E-25</v>
      </c>
      <c r="O4" s="7" t="s">
        <v>10</v>
      </c>
      <c r="P4" s="7">
        <v>4250</v>
      </c>
      <c r="Q4" s="7">
        <v>9558</v>
      </c>
      <c r="R4" s="7" t="s">
        <v>11</v>
      </c>
      <c r="S4" s="9" t="s">
        <v>12</v>
      </c>
      <c r="T4" s="7" t="s">
        <v>13</v>
      </c>
      <c r="U4" s="7" t="s">
        <v>14</v>
      </c>
      <c r="V4" s="7" t="s">
        <v>15</v>
      </c>
      <c r="W4" s="9" t="s">
        <v>137</v>
      </c>
    </row>
    <row r="5" spans="1:23" ht="34" x14ac:dyDescent="0.2">
      <c r="A5" s="7" t="str">
        <f ca="1">A$35</f>
        <v>B1</v>
      </c>
      <c r="B5" s="7">
        <v>4</v>
      </c>
      <c r="D5" s="7">
        <v>26672165</v>
      </c>
      <c r="E5" s="7" t="s">
        <v>17</v>
      </c>
      <c r="F5" s="7" t="s">
        <v>8</v>
      </c>
      <c r="G5" s="7">
        <v>20109</v>
      </c>
      <c r="H5" s="7">
        <v>0.63436800000000004</v>
      </c>
      <c r="I5" s="7">
        <v>-666.548</v>
      </c>
      <c r="J5" s="7">
        <v>64.809100000000001</v>
      </c>
      <c r="K5" s="8">
        <v>8.2519000000000002E-25</v>
      </c>
      <c r="L5" s="7">
        <v>-0.158694</v>
      </c>
      <c r="M5" s="7">
        <v>1.5402900000000001E-2</v>
      </c>
      <c r="N5" s="8">
        <v>6.8397299999999996E-25</v>
      </c>
      <c r="O5" s="7" t="s">
        <v>18</v>
      </c>
      <c r="P5" s="7">
        <v>4463</v>
      </c>
      <c r="Q5" s="7">
        <v>8606</v>
      </c>
      <c r="R5" s="7" t="s">
        <v>11</v>
      </c>
      <c r="S5" s="9" t="s">
        <v>12</v>
      </c>
      <c r="T5" s="7" t="s">
        <v>19</v>
      </c>
      <c r="U5" s="7" t="s">
        <v>14</v>
      </c>
      <c r="V5" s="7" t="s">
        <v>15</v>
      </c>
      <c r="W5" s="9" t="s">
        <v>137</v>
      </c>
    </row>
    <row r="6" spans="1:23" ht="34" x14ac:dyDescent="0.2">
      <c r="A6" s="7" t="str">
        <f ca="1">A$16</f>
        <v>B2</v>
      </c>
      <c r="B6" s="7">
        <v>4</v>
      </c>
      <c r="C6" s="7" t="s">
        <v>16</v>
      </c>
      <c r="D6" s="7">
        <v>26672165</v>
      </c>
      <c r="E6" s="7" t="s">
        <v>17</v>
      </c>
      <c r="F6" s="7" t="s">
        <v>8</v>
      </c>
      <c r="G6" s="7">
        <v>22243</v>
      </c>
      <c r="H6" s="7">
        <v>0.63402000000000003</v>
      </c>
      <c r="I6" s="7">
        <v>-654.25599999999997</v>
      </c>
      <c r="J6" s="7">
        <v>66.717100000000002</v>
      </c>
      <c r="K6" s="8">
        <v>1.0565E-22</v>
      </c>
      <c r="L6" s="7">
        <v>-0.146985</v>
      </c>
      <c r="M6" s="7">
        <v>1.49712E-2</v>
      </c>
      <c r="N6" s="8">
        <v>9.4329599999999997E-23</v>
      </c>
      <c r="O6" s="7" t="s">
        <v>18</v>
      </c>
      <c r="P6" s="7">
        <v>4463</v>
      </c>
      <c r="Q6" s="7">
        <v>9983</v>
      </c>
      <c r="R6" s="7" t="s">
        <v>11</v>
      </c>
      <c r="S6" s="9" t="s">
        <v>12</v>
      </c>
      <c r="T6" s="7" t="s">
        <v>19</v>
      </c>
      <c r="U6" s="7" t="s">
        <v>14</v>
      </c>
      <c r="V6" s="7" t="s">
        <v>15</v>
      </c>
      <c r="W6" s="9" t="s">
        <v>137</v>
      </c>
    </row>
    <row r="7" spans="1:23" ht="34" x14ac:dyDescent="0.2">
      <c r="A7" s="7" t="str">
        <f ca="1">A$35</f>
        <v>B1</v>
      </c>
      <c r="B7" s="7">
        <v>2</v>
      </c>
      <c r="C7" s="7" t="s">
        <v>20</v>
      </c>
      <c r="D7" s="7">
        <v>112015789</v>
      </c>
      <c r="E7" s="7" t="s">
        <v>17</v>
      </c>
      <c r="F7" s="7" t="s">
        <v>8</v>
      </c>
      <c r="G7" s="7">
        <v>20244</v>
      </c>
      <c r="H7" s="7">
        <v>0.48229100000000003</v>
      </c>
      <c r="I7" s="7">
        <v>-477.815</v>
      </c>
      <c r="J7" s="7">
        <v>56.657200000000003</v>
      </c>
      <c r="K7" s="8">
        <v>3.3563999999999998E-17</v>
      </c>
      <c r="L7" s="7">
        <v>-0.14885000000000001</v>
      </c>
      <c r="M7" s="7">
        <v>1.7650699999999998E-2</v>
      </c>
      <c r="N7" s="8">
        <v>3.3662099999999999E-17</v>
      </c>
      <c r="O7" s="7" t="s">
        <v>21</v>
      </c>
      <c r="P7" s="7">
        <v>4465</v>
      </c>
      <c r="Q7" s="7">
        <v>8563</v>
      </c>
      <c r="R7" s="7" t="s">
        <v>11</v>
      </c>
      <c r="S7" s="9" t="s">
        <v>12</v>
      </c>
      <c r="T7" s="7" t="s">
        <v>13</v>
      </c>
      <c r="U7" s="7" t="s">
        <v>22</v>
      </c>
      <c r="V7" s="7" t="s">
        <v>23</v>
      </c>
      <c r="W7" s="9" t="s">
        <v>149</v>
      </c>
    </row>
    <row r="8" spans="1:23" ht="17" x14ac:dyDescent="0.2">
      <c r="A8" s="7" t="str">
        <f ca="1">A$35</f>
        <v>B1</v>
      </c>
      <c r="B8" s="7">
        <v>10</v>
      </c>
      <c r="C8" s="7" t="s">
        <v>24</v>
      </c>
      <c r="D8" s="7">
        <v>91935140</v>
      </c>
      <c r="E8" s="7" t="s">
        <v>9</v>
      </c>
      <c r="F8" s="7" t="s">
        <v>8</v>
      </c>
      <c r="G8" s="7">
        <v>20330</v>
      </c>
      <c r="H8" s="7">
        <v>0.46512500000000001</v>
      </c>
      <c r="I8" s="7">
        <v>-488.62200000000001</v>
      </c>
      <c r="J8" s="7">
        <v>58.167499999999997</v>
      </c>
      <c r="K8" s="8">
        <v>4.4553200000000001E-17</v>
      </c>
      <c r="L8" s="7">
        <v>-0.14441499999999999</v>
      </c>
      <c r="M8" s="7">
        <v>1.7161599999999999E-2</v>
      </c>
      <c r="N8" s="8">
        <v>3.92863E-17</v>
      </c>
      <c r="O8" s="7" t="s">
        <v>25</v>
      </c>
      <c r="P8" s="7">
        <v>4220</v>
      </c>
      <c r="Q8" s="7">
        <v>8111</v>
      </c>
      <c r="R8" s="7" t="s">
        <v>11</v>
      </c>
      <c r="S8" s="9" t="s">
        <v>12</v>
      </c>
      <c r="T8" s="7" t="s">
        <v>13</v>
      </c>
      <c r="U8" s="7" t="s">
        <v>26</v>
      </c>
      <c r="V8" s="7" t="s">
        <v>27</v>
      </c>
      <c r="W8" s="9" t="s">
        <v>150</v>
      </c>
    </row>
    <row r="9" spans="1:23" ht="17" x14ac:dyDescent="0.2">
      <c r="A9" s="7" t="str">
        <f ca="1">A$16</f>
        <v>B2</v>
      </c>
      <c r="B9" s="7">
        <v>10</v>
      </c>
      <c r="C9" s="7" t="s">
        <v>24</v>
      </c>
      <c r="D9" s="7">
        <v>91935140</v>
      </c>
      <c r="E9" s="7" t="s">
        <v>9</v>
      </c>
      <c r="F9" s="7" t="s">
        <v>8</v>
      </c>
      <c r="G9" s="7">
        <v>22465</v>
      </c>
      <c r="H9" s="7">
        <v>0.46556900000000001</v>
      </c>
      <c r="I9" s="7">
        <v>-493.09800000000001</v>
      </c>
      <c r="J9" s="7">
        <v>59.887799999999999</v>
      </c>
      <c r="K9" s="8">
        <v>1.81518E-16</v>
      </c>
      <c r="L9" s="7">
        <v>-0.137485</v>
      </c>
      <c r="M9" s="7">
        <v>1.6679200000000002E-2</v>
      </c>
      <c r="N9" s="8">
        <v>1.6803400000000001E-16</v>
      </c>
      <c r="O9" s="7" t="s">
        <v>25</v>
      </c>
      <c r="P9" s="7">
        <v>4220</v>
      </c>
      <c r="Q9" s="7">
        <v>9404</v>
      </c>
      <c r="R9" s="7" t="s">
        <v>11</v>
      </c>
      <c r="S9" s="9" t="s">
        <v>12</v>
      </c>
      <c r="T9" s="7" t="s">
        <v>13</v>
      </c>
      <c r="U9" s="7" t="s">
        <v>26</v>
      </c>
      <c r="V9" s="7" t="s">
        <v>27</v>
      </c>
      <c r="W9" s="9" t="s">
        <v>150</v>
      </c>
    </row>
    <row r="10" spans="1:23" ht="34" x14ac:dyDescent="0.2">
      <c r="A10" s="7" t="s">
        <v>29</v>
      </c>
      <c r="B10" s="7">
        <v>2</v>
      </c>
      <c r="C10" s="7" t="s">
        <v>20</v>
      </c>
      <c r="D10" s="7">
        <v>112015789</v>
      </c>
      <c r="E10" s="7" t="s">
        <v>17</v>
      </c>
      <c r="F10" s="7" t="s">
        <v>8</v>
      </c>
      <c r="G10" s="7">
        <v>22345</v>
      </c>
      <c r="H10" s="7">
        <v>0.48160700000000001</v>
      </c>
      <c r="I10" s="7">
        <v>-467.88</v>
      </c>
      <c r="J10" s="7">
        <v>58.2455</v>
      </c>
      <c r="K10" s="8">
        <v>9.5207199999999994E-16</v>
      </c>
      <c r="L10" s="7">
        <v>-0.13791400000000001</v>
      </c>
      <c r="M10" s="7">
        <v>1.7179300000000002E-2</v>
      </c>
      <c r="N10" s="8">
        <v>9.9115600000000005E-16</v>
      </c>
      <c r="O10" s="7" t="s">
        <v>21</v>
      </c>
      <c r="P10" s="7">
        <v>4465</v>
      </c>
      <c r="Q10" s="7">
        <v>9903</v>
      </c>
      <c r="R10" s="7" t="s">
        <v>11</v>
      </c>
      <c r="S10" s="9" t="s">
        <v>12</v>
      </c>
      <c r="T10" s="7" t="s">
        <v>13</v>
      </c>
      <c r="U10" s="7" t="s">
        <v>22</v>
      </c>
      <c r="V10" s="7" t="s">
        <v>23</v>
      </c>
      <c r="W10" s="9" t="s">
        <v>149</v>
      </c>
    </row>
    <row r="11" spans="1:23" ht="17" x14ac:dyDescent="0.2">
      <c r="A11" s="7" t="str">
        <f ca="1">A$35</f>
        <v>B1</v>
      </c>
      <c r="B11" s="7">
        <v>12</v>
      </c>
      <c r="C11" s="7" t="s">
        <v>30</v>
      </c>
      <c r="D11" s="7">
        <v>25516252</v>
      </c>
      <c r="E11" s="7" t="s">
        <v>8</v>
      </c>
      <c r="F11" s="7" t="s">
        <v>17</v>
      </c>
      <c r="G11" s="7">
        <v>20429</v>
      </c>
      <c r="H11" s="7">
        <v>0.51123399999999997</v>
      </c>
      <c r="I11" s="7">
        <v>-477.21699999999998</v>
      </c>
      <c r="J11" s="7">
        <v>59.594900000000003</v>
      </c>
      <c r="K11" s="8">
        <v>1.16888E-15</v>
      </c>
      <c r="L11" s="7">
        <v>-0.13436899999999999</v>
      </c>
      <c r="M11" s="7">
        <v>1.6766099999999999E-2</v>
      </c>
      <c r="N11" s="8">
        <v>1.1076000000000001E-15</v>
      </c>
      <c r="O11" s="7" t="s">
        <v>31</v>
      </c>
      <c r="P11" s="7">
        <v>4527</v>
      </c>
      <c r="Q11" s="7">
        <v>8523</v>
      </c>
      <c r="R11" s="7" t="s">
        <v>32</v>
      </c>
      <c r="S11" s="9" t="s">
        <v>33</v>
      </c>
      <c r="T11" s="7" t="s">
        <v>13</v>
      </c>
      <c r="U11" s="7" t="s">
        <v>34</v>
      </c>
      <c r="V11" s="7" t="s">
        <v>35</v>
      </c>
      <c r="W11" s="9" t="s">
        <v>151</v>
      </c>
    </row>
    <row r="12" spans="1:23" ht="17" x14ac:dyDescent="0.2">
      <c r="A12" s="7" t="str">
        <f ca="1">A$35</f>
        <v>B1</v>
      </c>
      <c r="B12" s="7">
        <v>12</v>
      </c>
      <c r="C12" s="7" t="s">
        <v>36</v>
      </c>
      <c r="D12" s="7">
        <v>25516266</v>
      </c>
      <c r="E12" s="7" t="s">
        <v>17</v>
      </c>
      <c r="F12" s="7" t="s">
        <v>9</v>
      </c>
      <c r="G12" s="7">
        <v>20179</v>
      </c>
      <c r="H12" s="7">
        <v>0.53800999999999999</v>
      </c>
      <c r="I12" s="7">
        <v>-472.90600000000001</v>
      </c>
      <c r="J12" s="7">
        <v>60.380400000000002</v>
      </c>
      <c r="K12" s="8">
        <v>4.7970999999999998E-15</v>
      </c>
      <c r="L12" s="7">
        <v>-0.12971299999999999</v>
      </c>
      <c r="M12" s="7">
        <v>1.65451E-2</v>
      </c>
      <c r="N12" s="8">
        <v>4.5062699999999998E-15</v>
      </c>
      <c r="O12" s="7" t="s">
        <v>37</v>
      </c>
      <c r="P12" s="7">
        <v>4530</v>
      </c>
      <c r="Q12" s="7">
        <v>8556</v>
      </c>
      <c r="R12" s="7" t="s">
        <v>11</v>
      </c>
      <c r="S12" s="9" t="s">
        <v>33</v>
      </c>
      <c r="T12" s="7" t="s">
        <v>13</v>
      </c>
      <c r="U12" s="7" t="s">
        <v>34</v>
      </c>
      <c r="V12" s="7" t="s">
        <v>35</v>
      </c>
      <c r="W12" s="9" t="s">
        <v>151</v>
      </c>
    </row>
    <row r="13" spans="1:23" ht="17" x14ac:dyDescent="0.2">
      <c r="A13" s="7" t="str">
        <f ca="1">A$16</f>
        <v>B2</v>
      </c>
      <c r="B13" s="7">
        <v>12</v>
      </c>
      <c r="C13" s="7" t="s">
        <v>30</v>
      </c>
      <c r="D13" s="7">
        <v>25516252</v>
      </c>
      <c r="E13" s="7" t="s">
        <v>8</v>
      </c>
      <c r="F13" s="7" t="s">
        <v>17</v>
      </c>
      <c r="G13" s="7">
        <v>22578</v>
      </c>
      <c r="H13" s="7">
        <v>0.51127199999999995</v>
      </c>
      <c r="I13" s="7">
        <v>-477.05900000000003</v>
      </c>
      <c r="J13" s="7">
        <v>61.371600000000001</v>
      </c>
      <c r="K13" s="8">
        <v>7.6472799999999999E-15</v>
      </c>
      <c r="L13" s="7">
        <v>-0.12665899999999999</v>
      </c>
      <c r="M13" s="7">
        <v>1.62858E-2</v>
      </c>
      <c r="N13" s="8">
        <v>7.4081300000000007E-15</v>
      </c>
      <c r="O13" s="7" t="s">
        <v>31</v>
      </c>
      <c r="P13" s="7">
        <v>4527</v>
      </c>
      <c r="Q13" s="7">
        <v>9878</v>
      </c>
      <c r="R13" s="7" t="s">
        <v>32</v>
      </c>
      <c r="S13" s="9" t="s">
        <v>33</v>
      </c>
      <c r="T13" s="7" t="s">
        <v>13</v>
      </c>
      <c r="U13" s="7" t="s">
        <v>34</v>
      </c>
      <c r="V13" s="7" t="s">
        <v>35</v>
      </c>
      <c r="W13" s="9" t="s">
        <v>151</v>
      </c>
    </row>
    <row r="14" spans="1:23" ht="17" x14ac:dyDescent="0.2">
      <c r="A14" s="7" t="str">
        <f ca="1">A$16</f>
        <v>B2</v>
      </c>
      <c r="B14" s="7">
        <v>12</v>
      </c>
      <c r="C14" s="7" t="s">
        <v>36</v>
      </c>
      <c r="D14" s="7">
        <v>25516266</v>
      </c>
      <c r="E14" s="7" t="s">
        <v>17</v>
      </c>
      <c r="F14" s="7" t="s">
        <v>9</v>
      </c>
      <c r="G14" s="7">
        <v>22303</v>
      </c>
      <c r="H14" s="7">
        <v>0.538493</v>
      </c>
      <c r="I14" s="7">
        <v>-476.77499999999998</v>
      </c>
      <c r="J14" s="7">
        <v>62.149799999999999</v>
      </c>
      <c r="K14" s="8">
        <v>1.7014199999999999E-14</v>
      </c>
      <c r="L14" s="7">
        <v>-0.123434</v>
      </c>
      <c r="M14" s="7">
        <v>1.60766E-2</v>
      </c>
      <c r="N14" s="8">
        <v>1.6178400000000001E-14</v>
      </c>
      <c r="O14" s="7" t="s">
        <v>81</v>
      </c>
      <c r="P14" s="7">
        <v>4350</v>
      </c>
      <c r="Q14" s="7">
        <v>9932</v>
      </c>
      <c r="R14" s="7" t="s">
        <v>11</v>
      </c>
      <c r="S14" s="9" t="s">
        <v>33</v>
      </c>
      <c r="T14" s="7" t="s">
        <v>13</v>
      </c>
      <c r="U14" s="7" t="s">
        <v>34</v>
      </c>
      <c r="V14" s="7" t="s">
        <v>35</v>
      </c>
      <c r="W14" s="9" t="s">
        <v>151</v>
      </c>
    </row>
    <row r="15" spans="1:23" ht="34" x14ac:dyDescent="0.2">
      <c r="A15" s="7" t="str">
        <f ca="1">A$8</f>
        <v>B3</v>
      </c>
      <c r="B15" s="7">
        <v>4</v>
      </c>
      <c r="C15" s="7" t="s">
        <v>7</v>
      </c>
      <c r="D15" s="7">
        <v>26672139</v>
      </c>
      <c r="E15" s="7" t="s">
        <v>8</v>
      </c>
      <c r="F15" s="7" t="s">
        <v>9</v>
      </c>
      <c r="G15" s="7">
        <v>13788</v>
      </c>
      <c r="H15" s="7">
        <v>0.63145499999999999</v>
      </c>
      <c r="I15" s="7">
        <v>-244.917</v>
      </c>
      <c r="J15" s="7">
        <v>32.207900000000002</v>
      </c>
      <c r="K15" s="8">
        <v>2.8655400000000003E-14</v>
      </c>
      <c r="L15" s="7">
        <v>-0.236099</v>
      </c>
      <c r="M15" s="7">
        <v>3.1158399999999999E-2</v>
      </c>
      <c r="N15" s="8">
        <v>3.5260800000000001E-14</v>
      </c>
      <c r="O15" s="7" t="s">
        <v>10</v>
      </c>
      <c r="P15" s="7">
        <v>710</v>
      </c>
      <c r="Q15" s="7">
        <v>8228</v>
      </c>
      <c r="R15" s="7" t="s">
        <v>11</v>
      </c>
      <c r="S15" s="9" t="s">
        <v>12</v>
      </c>
      <c r="T15" s="7" t="s">
        <v>13</v>
      </c>
      <c r="U15" s="7" t="s">
        <v>14</v>
      </c>
      <c r="V15" s="7" t="s">
        <v>15</v>
      </c>
      <c r="W15" s="9" t="s">
        <v>137</v>
      </c>
    </row>
    <row r="16" spans="1:23" ht="17" x14ac:dyDescent="0.2">
      <c r="A16" s="7" t="str">
        <f ca="1">A$16</f>
        <v>B2</v>
      </c>
      <c r="B16" s="7">
        <v>10</v>
      </c>
      <c r="C16" s="7" t="s">
        <v>41</v>
      </c>
      <c r="D16" s="7">
        <v>91935136</v>
      </c>
      <c r="E16" s="7" t="s">
        <v>9</v>
      </c>
      <c r="F16" s="7" t="s">
        <v>8</v>
      </c>
      <c r="G16" s="7">
        <v>22572</v>
      </c>
      <c r="H16" s="7">
        <v>0.34312399999999998</v>
      </c>
      <c r="I16" s="7">
        <v>-412.42099999999999</v>
      </c>
      <c r="J16" s="7">
        <v>54.988399999999999</v>
      </c>
      <c r="K16" s="8">
        <v>6.3741699999999998E-14</v>
      </c>
      <c r="L16" s="7">
        <v>-0.13639499999999999</v>
      </c>
      <c r="M16" s="7">
        <v>1.80891E-2</v>
      </c>
      <c r="N16" s="8">
        <v>4.6924500000000001E-14</v>
      </c>
      <c r="O16" s="7" t="s">
        <v>82</v>
      </c>
      <c r="P16" s="7">
        <v>3480</v>
      </c>
      <c r="Q16" s="7">
        <v>7721</v>
      </c>
      <c r="R16" s="7" t="s">
        <v>11</v>
      </c>
      <c r="S16" s="9" t="s">
        <v>83</v>
      </c>
      <c r="T16" s="7" t="s">
        <v>13</v>
      </c>
      <c r="U16" s="7" t="s">
        <v>26</v>
      </c>
      <c r="V16" s="7" t="s">
        <v>27</v>
      </c>
      <c r="W16" s="9" t="s">
        <v>150</v>
      </c>
    </row>
    <row r="17" spans="1:23" ht="17" x14ac:dyDescent="0.2">
      <c r="A17" s="7" t="str">
        <f ca="1">A$35</f>
        <v>B1</v>
      </c>
      <c r="B17" s="7">
        <v>10</v>
      </c>
      <c r="C17" s="7" t="s">
        <v>41</v>
      </c>
      <c r="D17" s="7">
        <v>91935136</v>
      </c>
      <c r="E17" s="7" t="s">
        <v>9</v>
      </c>
      <c r="F17" s="7" t="s">
        <v>8</v>
      </c>
      <c r="G17" s="7">
        <v>20415</v>
      </c>
      <c r="H17" s="7">
        <v>0.34246900000000002</v>
      </c>
      <c r="I17" s="7">
        <v>-398.95400000000001</v>
      </c>
      <c r="J17" s="7">
        <v>53.369199999999999</v>
      </c>
      <c r="K17" s="8">
        <v>7.6989699999999999E-14</v>
      </c>
      <c r="L17" s="7">
        <v>-0.140069</v>
      </c>
      <c r="M17" s="7">
        <v>1.8626400000000001E-2</v>
      </c>
      <c r="N17" s="8">
        <v>5.4806099999999997E-14</v>
      </c>
      <c r="O17" s="7" t="s">
        <v>82</v>
      </c>
      <c r="P17" s="7">
        <v>3480</v>
      </c>
      <c r="Q17" s="7">
        <v>6638</v>
      </c>
      <c r="R17" s="7" t="s">
        <v>11</v>
      </c>
      <c r="S17" s="9" t="s">
        <v>83</v>
      </c>
      <c r="T17" s="7" t="s">
        <v>13</v>
      </c>
      <c r="U17" s="7" t="s">
        <v>26</v>
      </c>
      <c r="V17" s="7" t="s">
        <v>27</v>
      </c>
      <c r="W17" s="9" t="s">
        <v>150</v>
      </c>
    </row>
    <row r="18" spans="1:23" ht="17" x14ac:dyDescent="0.2">
      <c r="A18" s="7" t="str">
        <f ca="1">A$35</f>
        <v>B1</v>
      </c>
      <c r="B18" s="7">
        <v>12</v>
      </c>
      <c r="C18" s="7" t="s">
        <v>42</v>
      </c>
      <c r="D18" s="7">
        <v>25516226</v>
      </c>
      <c r="E18" s="7" t="s">
        <v>17</v>
      </c>
      <c r="F18" s="7" t="s">
        <v>84</v>
      </c>
      <c r="G18" s="7">
        <v>20310</v>
      </c>
      <c r="H18" s="7">
        <v>0.55241300000000004</v>
      </c>
      <c r="I18" s="7">
        <v>-449.70800000000003</v>
      </c>
      <c r="J18" s="7">
        <v>60.4908</v>
      </c>
      <c r="K18" s="8">
        <v>1.05111E-13</v>
      </c>
      <c r="L18" s="7">
        <v>-0.1229</v>
      </c>
      <c r="M18" s="7">
        <v>1.6516200000000002E-2</v>
      </c>
      <c r="N18" s="8">
        <v>9.9783100000000002E-14</v>
      </c>
      <c r="O18" s="7" t="s">
        <v>81</v>
      </c>
      <c r="P18" s="7">
        <v>4678</v>
      </c>
      <c r="Q18" s="7">
        <v>8757</v>
      </c>
      <c r="R18" s="7" t="s">
        <v>11</v>
      </c>
      <c r="S18" s="9" t="s">
        <v>33</v>
      </c>
      <c r="T18" s="7" t="s">
        <v>13</v>
      </c>
      <c r="U18" s="7" t="s">
        <v>34</v>
      </c>
      <c r="V18" s="7" t="s">
        <v>35</v>
      </c>
      <c r="W18" s="9" t="s">
        <v>151</v>
      </c>
    </row>
    <row r="19" spans="1:23" ht="17" x14ac:dyDescent="0.2">
      <c r="A19" s="7" t="str">
        <f ca="1">A$35</f>
        <v>B1</v>
      </c>
      <c r="B19" s="7">
        <v>7</v>
      </c>
      <c r="C19" s="7" t="s">
        <v>45</v>
      </c>
      <c r="D19" s="7">
        <v>77406075</v>
      </c>
      <c r="E19" s="7" t="s">
        <v>84</v>
      </c>
      <c r="F19" s="7" t="s">
        <v>9</v>
      </c>
      <c r="G19" s="7">
        <v>20235</v>
      </c>
      <c r="H19" s="7">
        <v>0.77776100000000004</v>
      </c>
      <c r="I19" s="7">
        <v>-394.12099999999998</v>
      </c>
      <c r="J19" s="7">
        <v>53.567900000000002</v>
      </c>
      <c r="K19" s="8">
        <v>1.8752200000000001E-13</v>
      </c>
      <c r="L19" s="7">
        <v>-0.137347</v>
      </c>
      <c r="M19" s="7">
        <v>1.8667199999999998E-2</v>
      </c>
      <c r="N19" s="8">
        <v>1.87118E-13</v>
      </c>
      <c r="O19" s="7" t="s">
        <v>85</v>
      </c>
      <c r="P19" s="7">
        <v>5910</v>
      </c>
      <c r="Q19" s="7">
        <v>10766</v>
      </c>
      <c r="R19" s="7" t="s">
        <v>11</v>
      </c>
      <c r="S19" s="9" t="s">
        <v>12</v>
      </c>
      <c r="T19" s="7" t="s">
        <v>19</v>
      </c>
      <c r="U19" s="7" t="s">
        <v>44</v>
      </c>
      <c r="V19" s="7" t="s">
        <v>86</v>
      </c>
      <c r="W19" s="9" t="s">
        <v>151</v>
      </c>
    </row>
    <row r="20" spans="1:23" ht="17" x14ac:dyDescent="0.2">
      <c r="A20" s="7" t="str">
        <f ca="1">A$16</f>
        <v>B2</v>
      </c>
      <c r="B20" s="7">
        <v>12</v>
      </c>
      <c r="C20" s="7" t="s">
        <v>42</v>
      </c>
      <c r="D20" s="7">
        <v>25516226</v>
      </c>
      <c r="E20" s="7" t="s">
        <v>17</v>
      </c>
      <c r="F20" s="7" t="s">
        <v>84</v>
      </c>
      <c r="G20" s="7">
        <v>22453</v>
      </c>
      <c r="H20" s="7">
        <v>0.55277699999999996</v>
      </c>
      <c r="I20" s="7">
        <v>-451.89400000000001</v>
      </c>
      <c r="J20" s="7">
        <v>62.297499999999999</v>
      </c>
      <c r="K20" s="8">
        <v>4.0522599999999999E-13</v>
      </c>
      <c r="L20" s="7">
        <v>-0.116438</v>
      </c>
      <c r="M20" s="7">
        <v>1.60403E-2</v>
      </c>
      <c r="N20" s="8">
        <v>3.8967199999999999E-13</v>
      </c>
      <c r="O20" s="7" t="s">
        <v>81</v>
      </c>
      <c r="P20" s="7">
        <v>4678</v>
      </c>
      <c r="Q20" s="7">
        <v>10165</v>
      </c>
      <c r="R20" s="7" t="s">
        <v>11</v>
      </c>
      <c r="S20" s="9" t="s">
        <v>33</v>
      </c>
      <c r="T20" s="7" t="s">
        <v>13</v>
      </c>
      <c r="U20" s="7" t="s">
        <v>34</v>
      </c>
      <c r="V20" s="7" t="s">
        <v>35</v>
      </c>
      <c r="W20" s="9" t="s">
        <v>151</v>
      </c>
    </row>
    <row r="21" spans="1:23" ht="17" x14ac:dyDescent="0.2">
      <c r="A21" s="7" t="str">
        <f ca="1">A$35</f>
        <v>B1</v>
      </c>
      <c r="B21" s="7">
        <v>6</v>
      </c>
      <c r="C21" s="7" t="s">
        <v>46</v>
      </c>
      <c r="D21" s="7">
        <v>144725786</v>
      </c>
      <c r="E21" s="7" t="s">
        <v>84</v>
      </c>
      <c r="F21" s="7" t="s">
        <v>9</v>
      </c>
      <c r="G21" s="7">
        <v>20116</v>
      </c>
      <c r="H21" s="7">
        <v>0.50648700000000002</v>
      </c>
      <c r="I21" s="7">
        <v>-412.20299999999997</v>
      </c>
      <c r="J21" s="7">
        <v>58.652999999999999</v>
      </c>
      <c r="K21" s="8">
        <v>2.09778E-12</v>
      </c>
      <c r="L21" s="7">
        <v>-0.11982</v>
      </c>
      <c r="M21" s="7">
        <v>1.6642799999999999E-2</v>
      </c>
      <c r="N21" s="8">
        <v>6.0421000000000001E-13</v>
      </c>
      <c r="O21" s="7" t="s">
        <v>87</v>
      </c>
      <c r="P21" s="7">
        <v>4519</v>
      </c>
      <c r="Q21" s="7">
        <v>8390</v>
      </c>
      <c r="R21" s="7" t="s">
        <v>11</v>
      </c>
      <c r="S21" s="9" t="s">
        <v>88</v>
      </c>
      <c r="T21" s="7" t="s">
        <v>13</v>
      </c>
      <c r="U21" s="7" t="s">
        <v>47</v>
      </c>
      <c r="V21" s="7" t="s">
        <v>132</v>
      </c>
      <c r="W21" s="9" t="s">
        <v>151</v>
      </c>
    </row>
    <row r="22" spans="1:23" ht="34" x14ac:dyDescent="0.2">
      <c r="A22" s="7" t="str">
        <f ca="1">A$8</f>
        <v>B3</v>
      </c>
      <c r="B22" s="7">
        <v>4</v>
      </c>
      <c r="C22" s="7" t="s">
        <v>16</v>
      </c>
      <c r="D22" s="7">
        <v>26672165</v>
      </c>
      <c r="E22" s="7" t="s">
        <v>17</v>
      </c>
      <c r="F22" s="7" t="s">
        <v>8</v>
      </c>
      <c r="G22" s="7">
        <v>14012</v>
      </c>
      <c r="H22" s="7">
        <v>0.65204799999999996</v>
      </c>
      <c r="I22" s="7">
        <v>-230.72200000000001</v>
      </c>
      <c r="J22" s="7">
        <v>32.048400000000001</v>
      </c>
      <c r="K22" s="8">
        <v>6.05786E-13</v>
      </c>
      <c r="L22" s="7">
        <v>-0.224634</v>
      </c>
      <c r="M22" s="7">
        <v>3.1308099999999998E-2</v>
      </c>
      <c r="N22" s="8">
        <v>7.2335800000000002E-13</v>
      </c>
      <c r="O22" s="7" t="s">
        <v>18</v>
      </c>
      <c r="P22" s="7">
        <v>757</v>
      </c>
      <c r="Q22" s="7">
        <v>8606</v>
      </c>
      <c r="R22" s="7" t="s">
        <v>11</v>
      </c>
      <c r="S22" s="9" t="s">
        <v>12</v>
      </c>
      <c r="T22" s="7" t="s">
        <v>19</v>
      </c>
      <c r="U22" s="7" t="s">
        <v>14</v>
      </c>
      <c r="V22" s="7" t="s">
        <v>15</v>
      </c>
      <c r="W22" s="9" t="s">
        <v>137</v>
      </c>
    </row>
    <row r="23" spans="1:23" ht="17" x14ac:dyDescent="0.2">
      <c r="A23" s="7" t="str">
        <f ca="1">A$35</f>
        <v>B1</v>
      </c>
      <c r="B23" s="7">
        <v>12</v>
      </c>
      <c r="C23" s="7" t="s">
        <v>40</v>
      </c>
      <c r="D23" s="7">
        <v>25516165</v>
      </c>
      <c r="E23" s="7" t="s">
        <v>8</v>
      </c>
      <c r="F23" s="7" t="s">
        <v>17</v>
      </c>
      <c r="G23" s="7">
        <v>20382</v>
      </c>
      <c r="H23" s="7">
        <v>0.55688800000000005</v>
      </c>
      <c r="I23" s="7">
        <v>-422.53100000000001</v>
      </c>
      <c r="J23" s="7">
        <v>59.829000000000001</v>
      </c>
      <c r="K23" s="8">
        <v>1.6375399999999999E-12</v>
      </c>
      <c r="L23" s="7">
        <v>-0.11804199999999999</v>
      </c>
      <c r="M23" s="7">
        <v>1.6698999999999999E-2</v>
      </c>
      <c r="N23" s="8">
        <v>1.56311E-12</v>
      </c>
      <c r="O23" s="7" t="s">
        <v>90</v>
      </c>
      <c r="P23" s="7">
        <v>4810</v>
      </c>
      <c r="Q23" s="7">
        <v>8946</v>
      </c>
      <c r="R23" s="7" t="s">
        <v>11</v>
      </c>
      <c r="S23" s="9" t="s">
        <v>91</v>
      </c>
      <c r="T23" s="7" t="s">
        <v>13</v>
      </c>
      <c r="U23" s="7" t="s">
        <v>34</v>
      </c>
      <c r="V23" s="7" t="s">
        <v>35</v>
      </c>
      <c r="W23" s="9" t="s">
        <v>151</v>
      </c>
    </row>
    <row r="24" spans="1:23" ht="17" x14ac:dyDescent="0.2">
      <c r="A24" s="7" t="str">
        <f ca="1">A$16</f>
        <v>B2</v>
      </c>
      <c r="B24" s="7">
        <v>12</v>
      </c>
      <c r="C24" s="7" t="s">
        <v>40</v>
      </c>
      <c r="D24" s="7">
        <v>25516165</v>
      </c>
      <c r="E24" s="7" t="s">
        <v>8</v>
      </c>
      <c r="F24" s="7" t="s">
        <v>17</v>
      </c>
      <c r="G24" s="7">
        <v>22520</v>
      </c>
      <c r="H24" s="7">
        <v>0.55777100000000002</v>
      </c>
      <c r="I24" s="7">
        <v>-433.00599999999997</v>
      </c>
      <c r="J24" s="7">
        <v>61.551699999999997</v>
      </c>
      <c r="K24" s="8">
        <v>1.9950200000000001E-12</v>
      </c>
      <c r="L24" s="7">
        <v>-0.114291</v>
      </c>
      <c r="M24" s="7">
        <v>1.62355E-2</v>
      </c>
      <c r="N24" s="8">
        <v>1.9278699999999999E-12</v>
      </c>
      <c r="O24" s="7" t="s">
        <v>90</v>
      </c>
      <c r="P24" s="7">
        <v>4810</v>
      </c>
      <c r="Q24" s="7">
        <v>10403</v>
      </c>
      <c r="R24" s="7" t="s">
        <v>11</v>
      </c>
      <c r="S24" s="9" t="s">
        <v>91</v>
      </c>
      <c r="T24" s="7" t="s">
        <v>13</v>
      </c>
      <c r="U24" s="7" t="s">
        <v>34</v>
      </c>
      <c r="V24" s="7" t="s">
        <v>35</v>
      </c>
      <c r="W24" s="9" t="s">
        <v>151</v>
      </c>
    </row>
    <row r="25" spans="1:23" ht="17" x14ac:dyDescent="0.2">
      <c r="A25" s="7" t="str">
        <f ca="1">A$16</f>
        <v>B2</v>
      </c>
      <c r="B25" s="7">
        <v>7</v>
      </c>
      <c r="C25" s="7" t="s">
        <v>45</v>
      </c>
      <c r="D25" s="7">
        <v>77406075</v>
      </c>
      <c r="E25" s="7" t="s">
        <v>84</v>
      </c>
      <c r="F25" s="7" t="s">
        <v>9</v>
      </c>
      <c r="G25" s="7">
        <v>22373</v>
      </c>
      <c r="H25" s="7">
        <v>0.77727599999999997</v>
      </c>
      <c r="I25" s="7">
        <v>-384.25</v>
      </c>
      <c r="J25" s="7">
        <v>55.107300000000002</v>
      </c>
      <c r="K25" s="8">
        <v>3.10765E-12</v>
      </c>
      <c r="L25" s="7">
        <v>-0.126531</v>
      </c>
      <c r="M25" s="7">
        <v>1.8160699999999998E-2</v>
      </c>
      <c r="N25" s="8">
        <v>3.2312399999999999E-12</v>
      </c>
      <c r="O25" s="7" t="s">
        <v>85</v>
      </c>
      <c r="P25" s="7">
        <v>5910</v>
      </c>
      <c r="Q25" s="7">
        <v>12530</v>
      </c>
      <c r="R25" s="7" t="s">
        <v>11</v>
      </c>
      <c r="S25" s="9" t="s">
        <v>12</v>
      </c>
      <c r="T25" s="7" t="s">
        <v>19</v>
      </c>
      <c r="U25" s="7" t="s">
        <v>44</v>
      </c>
      <c r="V25" s="7" t="s">
        <v>86</v>
      </c>
      <c r="W25" s="9" t="s">
        <v>151</v>
      </c>
    </row>
    <row r="26" spans="1:23" ht="17" x14ac:dyDescent="0.2">
      <c r="A26" s="7" t="str">
        <f ca="1">A$16</f>
        <v>B2</v>
      </c>
      <c r="B26" s="7">
        <v>6</v>
      </c>
      <c r="C26" s="7" t="s">
        <v>46</v>
      </c>
      <c r="D26" s="7">
        <v>144725786</v>
      </c>
      <c r="E26" s="7" t="s">
        <v>84</v>
      </c>
      <c r="F26" s="7" t="s">
        <v>9</v>
      </c>
      <c r="G26" s="7">
        <v>22243</v>
      </c>
      <c r="H26" s="7">
        <v>0.50591200000000003</v>
      </c>
      <c r="I26" s="7">
        <v>-410.49599999999998</v>
      </c>
      <c r="J26" s="7">
        <v>60.349699999999999</v>
      </c>
      <c r="K26" s="8">
        <v>1.03206E-11</v>
      </c>
      <c r="L26" s="7">
        <v>-0.112709</v>
      </c>
      <c r="M26" s="7">
        <v>1.6177799999999999E-2</v>
      </c>
      <c r="N26" s="8">
        <v>3.2402500000000001E-12</v>
      </c>
      <c r="O26" s="7" t="s">
        <v>87</v>
      </c>
      <c r="P26" s="7">
        <v>4519</v>
      </c>
      <c r="Q26" s="7">
        <v>9756</v>
      </c>
      <c r="R26" s="7" t="s">
        <v>11</v>
      </c>
      <c r="S26" s="9" t="s">
        <v>88</v>
      </c>
      <c r="T26" s="7" t="s">
        <v>13</v>
      </c>
      <c r="U26" s="7" t="s">
        <v>47</v>
      </c>
      <c r="V26" s="7" t="s">
        <v>132</v>
      </c>
      <c r="W26" s="9" t="s">
        <v>151</v>
      </c>
    </row>
    <row r="27" spans="1:23" ht="34" x14ac:dyDescent="0.2">
      <c r="A27" s="7" t="str">
        <f ca="1">A$35</f>
        <v>B1</v>
      </c>
      <c r="B27" s="7">
        <v>12</v>
      </c>
      <c r="C27" s="7" t="s">
        <v>48</v>
      </c>
      <c r="D27" s="7">
        <v>44913850</v>
      </c>
      <c r="E27" s="7" t="s">
        <v>84</v>
      </c>
      <c r="F27" s="7" t="s">
        <v>9</v>
      </c>
      <c r="G27" s="7">
        <v>20387</v>
      </c>
      <c r="H27" s="7">
        <v>0.48111500000000001</v>
      </c>
      <c r="I27" s="7">
        <v>-349.64299999999997</v>
      </c>
      <c r="J27" s="7">
        <v>55.883400000000002</v>
      </c>
      <c r="K27" s="8">
        <v>3.93321E-10</v>
      </c>
      <c r="L27" s="7">
        <v>-0.111959</v>
      </c>
      <c r="M27" s="7">
        <v>1.7420999999999999E-2</v>
      </c>
      <c r="N27" s="8">
        <v>1.3043300000000001E-10</v>
      </c>
      <c r="O27" s="7" t="s">
        <v>92</v>
      </c>
      <c r="P27" s="7">
        <v>4706</v>
      </c>
      <c r="Q27" s="7">
        <v>8640</v>
      </c>
      <c r="R27" s="7" t="s">
        <v>11</v>
      </c>
      <c r="S27" s="9" t="s">
        <v>93</v>
      </c>
      <c r="T27" s="7" t="s">
        <v>13</v>
      </c>
      <c r="U27" s="7" t="s">
        <v>49</v>
      </c>
      <c r="V27" s="7" t="s">
        <v>94</v>
      </c>
      <c r="W27" s="9" t="s">
        <v>152</v>
      </c>
    </row>
    <row r="28" spans="1:23" ht="34" x14ac:dyDescent="0.2">
      <c r="A28" s="7" t="s">
        <v>71</v>
      </c>
      <c r="B28" s="7">
        <v>4</v>
      </c>
      <c r="C28" s="7" t="s">
        <v>7</v>
      </c>
      <c r="D28" s="7">
        <v>26672139</v>
      </c>
      <c r="E28" s="7" t="s">
        <v>8</v>
      </c>
      <c r="F28" s="7" t="s">
        <v>9</v>
      </c>
      <c r="G28" s="7">
        <v>8728</v>
      </c>
      <c r="H28" s="7">
        <v>0.62746299999999999</v>
      </c>
      <c r="I28" s="7">
        <v>-275.07100000000003</v>
      </c>
      <c r="J28" s="7">
        <v>42.989600000000003</v>
      </c>
      <c r="K28" s="8">
        <v>1.5686200000000001E-10</v>
      </c>
      <c r="L28" s="7">
        <v>-0.148839</v>
      </c>
      <c r="M28" s="7">
        <v>2.3209899999999999E-2</v>
      </c>
      <c r="N28" s="8">
        <v>1.4290599999999999E-10</v>
      </c>
      <c r="O28" s="7" t="s">
        <v>10</v>
      </c>
      <c r="P28" s="7">
        <v>1922</v>
      </c>
      <c r="Q28" s="7">
        <v>3659</v>
      </c>
      <c r="R28" s="7" t="s">
        <v>11</v>
      </c>
      <c r="S28" s="9" t="s">
        <v>12</v>
      </c>
      <c r="T28" s="7" t="s">
        <v>13</v>
      </c>
      <c r="U28" s="7" t="s">
        <v>14</v>
      </c>
      <c r="V28" s="7" t="s">
        <v>15</v>
      </c>
      <c r="W28" s="9" t="s">
        <v>137</v>
      </c>
    </row>
    <row r="29" spans="1:23" ht="34" x14ac:dyDescent="0.2">
      <c r="A29" s="7" t="s">
        <v>71</v>
      </c>
      <c r="B29" s="7">
        <v>4</v>
      </c>
      <c r="C29" s="7" t="s">
        <v>16</v>
      </c>
      <c r="D29" s="7">
        <v>26672165</v>
      </c>
      <c r="E29" s="7" t="s">
        <v>17</v>
      </c>
      <c r="F29" s="7" t="s">
        <v>8</v>
      </c>
      <c r="G29" s="7">
        <v>8826</v>
      </c>
      <c r="H29" s="7">
        <v>0.64797199999999999</v>
      </c>
      <c r="I29" s="7">
        <v>-255.91800000000001</v>
      </c>
      <c r="J29" s="7">
        <v>42.759900000000002</v>
      </c>
      <c r="K29" s="8">
        <v>2.1638900000000001E-9</v>
      </c>
      <c r="L29" s="7">
        <v>-0.13996800000000001</v>
      </c>
      <c r="M29" s="7">
        <v>2.3324899999999999E-2</v>
      </c>
      <c r="N29" s="8">
        <v>1.9635700000000001E-9</v>
      </c>
      <c r="O29" s="7" t="s">
        <v>18</v>
      </c>
      <c r="P29" s="7">
        <v>2025</v>
      </c>
      <c r="Q29" s="7">
        <v>3795</v>
      </c>
      <c r="R29" s="7" t="s">
        <v>11</v>
      </c>
      <c r="S29" s="9" t="s">
        <v>12</v>
      </c>
      <c r="T29" s="7" t="s">
        <v>19</v>
      </c>
      <c r="U29" s="7" t="s">
        <v>14</v>
      </c>
      <c r="V29" s="7" t="s">
        <v>15</v>
      </c>
      <c r="W29" s="9" t="s">
        <v>137</v>
      </c>
    </row>
    <row r="30" spans="1:23" ht="34" x14ac:dyDescent="0.2">
      <c r="A30" s="7" t="str">
        <f ca="1">A$16</f>
        <v>B2</v>
      </c>
      <c r="B30" s="7">
        <v>12</v>
      </c>
      <c r="C30" s="7" t="s">
        <v>48</v>
      </c>
      <c r="D30" s="7">
        <v>44913850</v>
      </c>
      <c r="E30" s="7" t="s">
        <v>84</v>
      </c>
      <c r="F30" s="7" t="s">
        <v>9</v>
      </c>
      <c r="G30" s="7">
        <v>22524</v>
      </c>
      <c r="H30" s="7">
        <v>0.47928900000000002</v>
      </c>
      <c r="I30" s="7">
        <v>-333.03100000000001</v>
      </c>
      <c r="J30" s="7">
        <v>57.472700000000003</v>
      </c>
      <c r="K30" s="8">
        <v>6.8482399999999999E-9</v>
      </c>
      <c r="L30" s="7">
        <v>-0.100824</v>
      </c>
      <c r="M30" s="7">
        <v>1.6960900000000001E-2</v>
      </c>
      <c r="N30" s="8">
        <v>2.7732200000000001E-9</v>
      </c>
      <c r="O30" s="7" t="s">
        <v>92</v>
      </c>
      <c r="P30" s="7">
        <v>4706</v>
      </c>
      <c r="Q30" s="7">
        <v>10007</v>
      </c>
      <c r="R30" s="7" t="s">
        <v>11</v>
      </c>
      <c r="S30" s="9" t="s">
        <v>93</v>
      </c>
      <c r="T30" s="7" t="s">
        <v>13</v>
      </c>
      <c r="U30" s="7" t="s">
        <v>49</v>
      </c>
      <c r="V30" s="7" t="s">
        <v>94</v>
      </c>
      <c r="W30" s="9" t="s">
        <v>152</v>
      </c>
    </row>
    <row r="31" spans="1:23" ht="34" x14ac:dyDescent="0.2">
      <c r="A31" s="7" t="s">
        <v>95</v>
      </c>
      <c r="B31" s="7">
        <v>4</v>
      </c>
      <c r="C31" s="7" t="s">
        <v>7</v>
      </c>
      <c r="D31" s="7">
        <v>26672139</v>
      </c>
      <c r="E31" s="7" t="s">
        <v>8</v>
      </c>
      <c r="F31" s="7" t="s">
        <v>9</v>
      </c>
      <c r="G31" s="7">
        <v>6635</v>
      </c>
      <c r="H31" s="7">
        <v>0.62290900000000005</v>
      </c>
      <c r="I31" s="7">
        <v>-229.13</v>
      </c>
      <c r="J31" s="7">
        <v>38.819899999999997</v>
      </c>
      <c r="K31" s="8">
        <v>3.5829499999999999E-9</v>
      </c>
      <c r="L31" s="7">
        <v>-0.15204500000000001</v>
      </c>
      <c r="M31" s="7">
        <v>2.5734699999999999E-2</v>
      </c>
      <c r="N31" s="8">
        <v>3.45922E-9</v>
      </c>
      <c r="O31" s="7" t="s">
        <v>10</v>
      </c>
      <c r="P31" s="7">
        <v>2090</v>
      </c>
      <c r="Q31" s="7">
        <v>2092</v>
      </c>
      <c r="R31" s="7" t="s">
        <v>11</v>
      </c>
      <c r="S31" s="9" t="s">
        <v>12</v>
      </c>
      <c r="T31" s="7" t="s">
        <v>13</v>
      </c>
      <c r="U31" s="7" t="s">
        <v>14</v>
      </c>
      <c r="V31" s="7" t="s">
        <v>15</v>
      </c>
      <c r="W31" s="9" t="s">
        <v>137</v>
      </c>
    </row>
    <row r="32" spans="1:23" ht="34" x14ac:dyDescent="0.2">
      <c r="A32" s="7" t="s">
        <v>95</v>
      </c>
      <c r="B32" s="7">
        <v>4</v>
      </c>
      <c r="C32" s="7" t="s">
        <v>16</v>
      </c>
      <c r="D32" s="7">
        <v>26672165</v>
      </c>
      <c r="E32" s="7" t="s">
        <v>17</v>
      </c>
      <c r="F32" s="7" t="s">
        <v>8</v>
      </c>
      <c r="G32" s="7">
        <v>6722</v>
      </c>
      <c r="H32" s="7">
        <v>0.64489700000000005</v>
      </c>
      <c r="I32" s="7">
        <v>-223.756</v>
      </c>
      <c r="J32" s="7">
        <v>38.653100000000002</v>
      </c>
      <c r="K32" s="8">
        <v>7.0885199999999998E-9</v>
      </c>
      <c r="L32" s="7">
        <v>-0.14976300000000001</v>
      </c>
      <c r="M32" s="7">
        <v>2.5832299999999999E-2</v>
      </c>
      <c r="N32" s="8">
        <v>6.7303600000000003E-9</v>
      </c>
      <c r="O32" s="7" t="s">
        <v>18</v>
      </c>
      <c r="P32" s="7">
        <v>2090</v>
      </c>
      <c r="Q32" s="7">
        <v>2092</v>
      </c>
      <c r="R32" s="7" t="s">
        <v>11</v>
      </c>
      <c r="S32" s="9" t="s">
        <v>12</v>
      </c>
      <c r="T32" s="7" t="s">
        <v>19</v>
      </c>
      <c r="U32" s="7" t="s">
        <v>14</v>
      </c>
      <c r="V32" s="7" t="s">
        <v>15</v>
      </c>
      <c r="W32" s="9" t="s">
        <v>137</v>
      </c>
    </row>
    <row r="33" spans="1:23" ht="17" x14ac:dyDescent="0.2">
      <c r="A33" s="7" t="s">
        <v>71</v>
      </c>
      <c r="B33" s="7">
        <v>12</v>
      </c>
      <c r="C33" s="7" t="s">
        <v>30</v>
      </c>
      <c r="D33" s="7">
        <v>25516252</v>
      </c>
      <c r="E33" s="7" t="s">
        <v>8</v>
      </c>
      <c r="F33" s="7" t="s">
        <v>17</v>
      </c>
      <c r="G33" s="7">
        <v>8975</v>
      </c>
      <c r="H33" s="7">
        <v>0.51910900000000004</v>
      </c>
      <c r="I33" s="7">
        <v>-225.084</v>
      </c>
      <c r="J33" s="7">
        <v>39.546199999999999</v>
      </c>
      <c r="K33" s="8">
        <v>1.2579299999999999E-8</v>
      </c>
      <c r="L33" s="7">
        <v>-0.143925</v>
      </c>
      <c r="M33" s="7">
        <v>2.5257100000000001E-2</v>
      </c>
      <c r="N33" s="8">
        <v>1.20945E-8</v>
      </c>
      <c r="O33" s="7" t="s">
        <v>31</v>
      </c>
      <c r="P33" s="7">
        <v>2031</v>
      </c>
      <c r="Q33" s="7">
        <v>3754</v>
      </c>
      <c r="R33" s="7" t="s">
        <v>32</v>
      </c>
      <c r="S33" s="9" t="s">
        <v>33</v>
      </c>
      <c r="T33" s="7" t="s">
        <v>13</v>
      </c>
      <c r="U33" s="7" t="s">
        <v>34</v>
      </c>
      <c r="V33" s="7" t="s">
        <v>35</v>
      </c>
      <c r="W33" s="9" t="s">
        <v>151</v>
      </c>
    </row>
    <row r="34" spans="1:23" ht="34" x14ac:dyDescent="0.2">
      <c r="A34" s="7" t="str">
        <f ca="1">A$35</f>
        <v>B1</v>
      </c>
      <c r="B34" s="7">
        <v>16</v>
      </c>
      <c r="C34" s="7" t="s">
        <v>50</v>
      </c>
      <c r="D34" s="7">
        <v>275943</v>
      </c>
      <c r="E34" s="7" t="s">
        <v>96</v>
      </c>
      <c r="F34" s="7" t="s">
        <v>8</v>
      </c>
      <c r="G34" s="7">
        <v>21315</v>
      </c>
      <c r="H34" s="7">
        <v>0.87410299999999996</v>
      </c>
      <c r="I34" s="7">
        <v>-167.94</v>
      </c>
      <c r="J34" s="7">
        <v>30.4527</v>
      </c>
      <c r="K34" s="8">
        <v>3.4922699999999998E-8</v>
      </c>
      <c r="L34" s="7">
        <v>-0.181093</v>
      </c>
      <c r="M34" s="7">
        <v>3.2739799999999999E-2</v>
      </c>
      <c r="N34" s="8">
        <v>3.1791700000000001E-8</v>
      </c>
      <c r="O34" s="7" t="s">
        <v>97</v>
      </c>
      <c r="P34" s="7">
        <v>7975</v>
      </c>
      <c r="Q34" s="7">
        <v>13664</v>
      </c>
      <c r="R34" s="7" t="s">
        <v>11</v>
      </c>
      <c r="S34" s="9" t="s">
        <v>12</v>
      </c>
      <c r="T34" s="7" t="s">
        <v>13</v>
      </c>
      <c r="U34" s="7" t="s">
        <v>51</v>
      </c>
      <c r="V34" s="7" t="s">
        <v>133</v>
      </c>
      <c r="W34" s="9" t="s">
        <v>144</v>
      </c>
    </row>
    <row r="35" spans="1:23" ht="17" x14ac:dyDescent="0.2">
      <c r="A35" s="7">
        <f ca="1">A$35</f>
        <v>0</v>
      </c>
      <c r="B35" s="7">
        <v>8</v>
      </c>
      <c r="C35" s="7" t="s">
        <v>53</v>
      </c>
      <c r="D35" s="7">
        <v>28058313</v>
      </c>
      <c r="E35" s="7" t="s">
        <v>84</v>
      </c>
      <c r="F35" s="7" t="s">
        <v>9</v>
      </c>
      <c r="G35" s="7">
        <v>20422</v>
      </c>
      <c r="H35" s="7">
        <v>0.90627800000000003</v>
      </c>
      <c r="I35" s="7">
        <v>-216.93700000000001</v>
      </c>
      <c r="J35" s="7">
        <v>39.538800000000002</v>
      </c>
      <c r="K35" s="8">
        <v>4.0952899999999997E-8</v>
      </c>
      <c r="L35" s="7">
        <v>-0.138767</v>
      </c>
      <c r="M35" s="7">
        <v>2.52987E-2</v>
      </c>
      <c r="N35" s="8">
        <v>4.1312099999999998E-8</v>
      </c>
      <c r="O35" s="7" t="s">
        <v>99</v>
      </c>
      <c r="P35" s="7">
        <v>6758</v>
      </c>
      <c r="Q35" s="7">
        <v>12065</v>
      </c>
      <c r="R35" s="7" t="s">
        <v>11</v>
      </c>
      <c r="S35" s="9" t="s">
        <v>12</v>
      </c>
      <c r="T35" s="7" t="s">
        <v>13</v>
      </c>
      <c r="U35" s="7" t="s">
        <v>52</v>
      </c>
      <c r="V35" s="7" t="s">
        <v>100</v>
      </c>
      <c r="W35" s="9" t="s">
        <v>142</v>
      </c>
    </row>
    <row r="36" spans="1:23" ht="17" x14ac:dyDescent="0.2">
      <c r="A36" s="7" t="s">
        <v>71</v>
      </c>
      <c r="B36" s="7">
        <v>12</v>
      </c>
      <c r="C36" s="7" t="s">
        <v>40</v>
      </c>
      <c r="D36" s="7">
        <v>25516165</v>
      </c>
      <c r="E36" s="7" t="s">
        <v>8</v>
      </c>
      <c r="F36" s="7" t="s">
        <v>17</v>
      </c>
      <c r="G36" s="7">
        <v>8970</v>
      </c>
      <c r="H36" s="7">
        <v>0.56516200000000005</v>
      </c>
      <c r="I36" s="7">
        <v>-215.05099999999999</v>
      </c>
      <c r="J36" s="7">
        <v>39.663699999999999</v>
      </c>
      <c r="K36" s="8">
        <v>5.8985299999999998E-8</v>
      </c>
      <c r="L36" s="7">
        <v>-0.13669600000000001</v>
      </c>
      <c r="M36" s="7">
        <v>2.5179099999999999E-2</v>
      </c>
      <c r="N36" s="8">
        <v>5.6693399999999999E-8</v>
      </c>
      <c r="O36" s="7" t="s">
        <v>101</v>
      </c>
      <c r="P36" s="7">
        <v>2171</v>
      </c>
      <c r="Q36" s="7">
        <v>3933</v>
      </c>
      <c r="R36" s="7" t="s">
        <v>11</v>
      </c>
      <c r="S36" s="9" t="s">
        <v>12</v>
      </c>
      <c r="T36" s="7" t="s">
        <v>13</v>
      </c>
      <c r="U36" s="7" t="s">
        <v>34</v>
      </c>
      <c r="V36" s="7" t="s">
        <v>35</v>
      </c>
      <c r="W36" s="9" t="s">
        <v>151</v>
      </c>
    </row>
    <row r="37" spans="1:23" ht="34" x14ac:dyDescent="0.2">
      <c r="A37" s="7" t="s">
        <v>102</v>
      </c>
      <c r="B37" s="7">
        <v>4</v>
      </c>
      <c r="C37" s="7" t="s">
        <v>7</v>
      </c>
      <c r="D37" s="7">
        <v>26672139</v>
      </c>
      <c r="E37" s="7" t="s">
        <v>8</v>
      </c>
      <c r="F37" s="7" t="s">
        <v>9</v>
      </c>
      <c r="G37" s="7">
        <v>5303</v>
      </c>
      <c r="H37" s="7">
        <v>0.64680400000000005</v>
      </c>
      <c r="I37" s="7">
        <v>-125.29</v>
      </c>
      <c r="J37" s="7">
        <v>23.314</v>
      </c>
      <c r="K37" s="8">
        <v>7.6994900000000003E-8</v>
      </c>
      <c r="L37" s="7">
        <v>-0.23050699999999999</v>
      </c>
      <c r="M37" s="7">
        <v>4.2976899999999998E-2</v>
      </c>
      <c r="N37" s="8">
        <v>8.1623300000000005E-8</v>
      </c>
      <c r="O37" s="7" t="s">
        <v>10</v>
      </c>
      <c r="P37" s="7">
        <v>405</v>
      </c>
      <c r="Q37" s="7">
        <v>3090</v>
      </c>
      <c r="R37" s="7" t="s">
        <v>11</v>
      </c>
      <c r="S37" s="9" t="s">
        <v>12</v>
      </c>
      <c r="T37" s="7" t="s">
        <v>13</v>
      </c>
      <c r="U37" s="7" t="s">
        <v>14</v>
      </c>
      <c r="V37" s="7" t="s">
        <v>15</v>
      </c>
      <c r="W37" s="9" t="s">
        <v>137</v>
      </c>
    </row>
    <row r="38" spans="1:23" ht="17" x14ac:dyDescent="0.2">
      <c r="A38" s="7" t="str">
        <f ca="1">A$8</f>
        <v>B3</v>
      </c>
      <c r="B38" s="7">
        <v>12</v>
      </c>
      <c r="C38" s="7" t="s">
        <v>40</v>
      </c>
      <c r="D38" s="7">
        <v>25516165</v>
      </c>
      <c r="E38" s="7" t="s">
        <v>8</v>
      </c>
      <c r="F38" s="7" t="s">
        <v>17</v>
      </c>
      <c r="G38" s="7">
        <v>14192</v>
      </c>
      <c r="H38" s="7">
        <v>0.56760900000000003</v>
      </c>
      <c r="I38" s="7">
        <v>-157.24199999999999</v>
      </c>
      <c r="J38" s="7">
        <v>29.797699999999999</v>
      </c>
      <c r="K38" s="8">
        <v>1.3131999999999999E-7</v>
      </c>
      <c r="L38" s="7">
        <v>-0.177094</v>
      </c>
      <c r="M38" s="7">
        <v>3.35378E-2</v>
      </c>
      <c r="N38" s="8">
        <v>1.28878E-7</v>
      </c>
      <c r="O38" s="7" t="s">
        <v>90</v>
      </c>
      <c r="P38" s="7">
        <v>811</v>
      </c>
      <c r="Q38" s="7">
        <v>8946</v>
      </c>
      <c r="R38" s="7" t="s">
        <v>11</v>
      </c>
      <c r="S38" s="9" t="s">
        <v>91</v>
      </c>
      <c r="T38" s="7" t="s">
        <v>13</v>
      </c>
      <c r="U38" s="7" t="s">
        <v>34</v>
      </c>
      <c r="V38" s="7" t="s">
        <v>35</v>
      </c>
      <c r="W38" s="9" t="s">
        <v>151</v>
      </c>
    </row>
    <row r="39" spans="1:23" ht="17" x14ac:dyDescent="0.2">
      <c r="A39" s="7" t="str">
        <f ca="1">A$16</f>
        <v>B2</v>
      </c>
      <c r="B39" s="7">
        <v>8</v>
      </c>
      <c r="C39" s="7" t="s">
        <v>53</v>
      </c>
      <c r="D39" s="7">
        <v>28058313</v>
      </c>
      <c r="E39" s="7" t="s">
        <v>84</v>
      </c>
      <c r="F39" s="7" t="s">
        <v>9</v>
      </c>
      <c r="G39" s="7">
        <v>22580</v>
      </c>
      <c r="H39" s="7">
        <v>0.90615599999999996</v>
      </c>
      <c r="I39" s="7">
        <v>-214.66300000000001</v>
      </c>
      <c r="J39" s="7">
        <v>40.695500000000003</v>
      </c>
      <c r="K39" s="8">
        <v>1.3286499999999999E-7</v>
      </c>
      <c r="L39" s="7">
        <v>-0.12961800000000001</v>
      </c>
      <c r="M39" s="7">
        <v>2.4599699999999999E-2</v>
      </c>
      <c r="N39" s="8">
        <v>1.3711499999999999E-7</v>
      </c>
      <c r="O39" s="7" t="s">
        <v>99</v>
      </c>
      <c r="P39" s="7">
        <v>6758</v>
      </c>
      <c r="Q39" s="7">
        <v>14048</v>
      </c>
      <c r="R39" s="7" t="s">
        <v>11</v>
      </c>
      <c r="S39" s="9" t="s">
        <v>12</v>
      </c>
      <c r="T39" s="7" t="s">
        <v>13</v>
      </c>
      <c r="U39" s="7" t="s">
        <v>52</v>
      </c>
      <c r="V39" s="7" t="s">
        <v>100</v>
      </c>
      <c r="W39" s="9" t="s">
        <v>142</v>
      </c>
    </row>
    <row r="40" spans="1:23" ht="34" x14ac:dyDescent="0.2">
      <c r="A40" s="7" t="s">
        <v>103</v>
      </c>
      <c r="B40" s="7">
        <v>2</v>
      </c>
      <c r="C40" s="7" t="s">
        <v>20</v>
      </c>
      <c r="D40" s="7">
        <v>112015789</v>
      </c>
      <c r="E40" s="7" t="s">
        <v>17</v>
      </c>
      <c r="F40" s="7" t="s">
        <v>8</v>
      </c>
      <c r="G40" s="7">
        <v>14132</v>
      </c>
      <c r="H40" s="7">
        <v>0.49497600000000003</v>
      </c>
      <c r="I40" s="7">
        <v>-148.59</v>
      </c>
      <c r="J40" s="7">
        <v>28.323799999999999</v>
      </c>
      <c r="K40" s="8">
        <v>1.55325E-7</v>
      </c>
      <c r="L40" s="7">
        <v>-0.18522</v>
      </c>
      <c r="M40" s="7">
        <v>3.5330100000000003E-2</v>
      </c>
      <c r="N40" s="8">
        <v>1.58365E-7</v>
      </c>
      <c r="O40" s="7" t="s">
        <v>21</v>
      </c>
      <c r="P40" s="7">
        <v>755</v>
      </c>
      <c r="Q40" s="7">
        <v>8563</v>
      </c>
      <c r="R40" s="7" t="s">
        <v>11</v>
      </c>
      <c r="S40" s="9" t="s">
        <v>12</v>
      </c>
      <c r="T40" s="7" t="s">
        <v>13</v>
      </c>
      <c r="U40" s="7" t="s">
        <v>22</v>
      </c>
      <c r="V40" s="7" t="s">
        <v>23</v>
      </c>
      <c r="W40" s="9" t="s">
        <v>149</v>
      </c>
    </row>
    <row r="41" spans="1:23" ht="17" x14ac:dyDescent="0.2">
      <c r="A41" s="7" t="s">
        <v>71</v>
      </c>
      <c r="B41" s="7">
        <v>12</v>
      </c>
      <c r="C41" s="7" t="s">
        <v>36</v>
      </c>
      <c r="D41" s="7">
        <v>25516266</v>
      </c>
      <c r="E41" s="7" t="s">
        <v>17</v>
      </c>
      <c r="F41" s="7" t="s">
        <v>9</v>
      </c>
      <c r="G41" s="7">
        <v>8837</v>
      </c>
      <c r="H41" s="7">
        <v>0.54730100000000004</v>
      </c>
      <c r="I41" s="7">
        <v>-208.851</v>
      </c>
      <c r="J41" s="7">
        <v>40.023699999999998</v>
      </c>
      <c r="K41" s="8">
        <v>1.8069699999999999E-7</v>
      </c>
      <c r="L41" s="7">
        <v>-0.13037699999999999</v>
      </c>
      <c r="M41" s="7">
        <v>2.4956900000000001E-2</v>
      </c>
      <c r="N41" s="8">
        <v>1.7501200000000001E-7</v>
      </c>
      <c r="O41" s="7" t="s">
        <v>81</v>
      </c>
      <c r="P41" s="7">
        <v>2035</v>
      </c>
      <c r="Q41" s="7">
        <v>3744</v>
      </c>
      <c r="R41" s="7" t="s">
        <v>11</v>
      </c>
      <c r="S41" s="9" t="s">
        <v>33</v>
      </c>
      <c r="T41" s="7" t="s">
        <v>13</v>
      </c>
      <c r="U41" s="7" t="s">
        <v>34</v>
      </c>
      <c r="V41" s="7" t="s">
        <v>35</v>
      </c>
      <c r="W41" s="9" t="s">
        <v>151</v>
      </c>
    </row>
    <row r="42" spans="1:23" ht="17" x14ac:dyDescent="0.2">
      <c r="A42" s="7" t="str">
        <f ca="1">A$8</f>
        <v>B3</v>
      </c>
      <c r="B42" s="7">
        <v>12</v>
      </c>
      <c r="C42" s="7" t="s">
        <v>30</v>
      </c>
      <c r="D42" s="7">
        <v>25516252</v>
      </c>
      <c r="E42" s="7" t="s">
        <v>8</v>
      </c>
      <c r="F42" s="7" t="s">
        <v>17</v>
      </c>
      <c r="G42" s="7">
        <v>14230</v>
      </c>
      <c r="H42" s="7">
        <v>0.52375300000000002</v>
      </c>
      <c r="I42" s="7">
        <v>-155.03299999999999</v>
      </c>
      <c r="J42" s="7">
        <v>29.761800000000001</v>
      </c>
      <c r="K42" s="8">
        <v>1.8974600000000001E-7</v>
      </c>
      <c r="L42" s="7">
        <v>-0.17502699999999999</v>
      </c>
      <c r="M42" s="7">
        <v>3.3589500000000001E-2</v>
      </c>
      <c r="N42" s="8">
        <v>1.8807399999999999E-7</v>
      </c>
      <c r="O42" s="7" t="s">
        <v>31</v>
      </c>
      <c r="P42" s="7">
        <v>780</v>
      </c>
      <c r="Q42" s="7">
        <v>8523</v>
      </c>
      <c r="R42" s="7" t="s">
        <v>32</v>
      </c>
      <c r="S42" s="9" t="s">
        <v>33</v>
      </c>
      <c r="T42" s="7" t="s">
        <v>13</v>
      </c>
      <c r="U42" s="7" t="s">
        <v>34</v>
      </c>
      <c r="V42" s="7" t="s">
        <v>35</v>
      </c>
      <c r="W42" s="9" t="s">
        <v>151</v>
      </c>
    </row>
    <row r="43" spans="1:23" ht="17" x14ac:dyDescent="0.2">
      <c r="A43" s="7" t="str">
        <f ca="1">A$8</f>
        <v>B3</v>
      </c>
      <c r="B43" s="7">
        <v>12</v>
      </c>
      <c r="C43" s="7" t="s">
        <v>36</v>
      </c>
      <c r="D43" s="7">
        <v>25516266</v>
      </c>
      <c r="E43" s="7" t="s">
        <v>17</v>
      </c>
      <c r="F43" s="7" t="s">
        <v>9</v>
      </c>
      <c r="G43" s="7">
        <v>14068</v>
      </c>
      <c r="H43" s="7">
        <v>0.55071800000000004</v>
      </c>
      <c r="I43" s="7">
        <v>-155.495</v>
      </c>
      <c r="J43" s="7">
        <v>30.127199999999998</v>
      </c>
      <c r="K43" s="8">
        <v>2.45269E-7</v>
      </c>
      <c r="L43" s="7">
        <v>-0.171316</v>
      </c>
      <c r="M43" s="7">
        <v>3.3177100000000001E-2</v>
      </c>
      <c r="N43" s="8">
        <v>2.4212299999999998E-7</v>
      </c>
      <c r="O43" s="7" t="s">
        <v>104</v>
      </c>
      <c r="P43" s="7">
        <v>776</v>
      </c>
      <c r="Q43" s="7">
        <v>8556</v>
      </c>
      <c r="R43" s="7" t="s">
        <v>11</v>
      </c>
      <c r="S43" s="9" t="s">
        <v>33</v>
      </c>
      <c r="T43" s="7" t="s">
        <v>13</v>
      </c>
      <c r="U43" s="7" t="s">
        <v>34</v>
      </c>
      <c r="V43" s="7" t="s">
        <v>35</v>
      </c>
      <c r="W43" s="9" t="s">
        <v>151</v>
      </c>
    </row>
    <row r="44" spans="1:23" ht="17" x14ac:dyDescent="0.2">
      <c r="A44" s="7" t="str">
        <f ca="1">A$8</f>
        <v>B3</v>
      </c>
      <c r="B44" s="7">
        <v>7</v>
      </c>
      <c r="C44" s="7" t="s">
        <v>45</v>
      </c>
      <c r="D44" s="7">
        <v>77406075</v>
      </c>
      <c r="E44" s="7" t="s">
        <v>84</v>
      </c>
      <c r="F44" s="7" t="s">
        <v>9</v>
      </c>
      <c r="G44" s="7">
        <v>14125</v>
      </c>
      <c r="H44" s="7">
        <v>0.78700899999999996</v>
      </c>
      <c r="I44" s="7">
        <v>-134.19</v>
      </c>
      <c r="J44" s="7">
        <v>26.290700000000001</v>
      </c>
      <c r="K44" s="8">
        <v>3.32412E-7</v>
      </c>
      <c r="L44" s="7">
        <v>-0.19414000000000001</v>
      </c>
      <c r="M44" s="7">
        <v>3.8285899999999998E-2</v>
      </c>
      <c r="N44" s="8">
        <v>3.9616000000000002E-7</v>
      </c>
      <c r="O44" s="7" t="s">
        <v>85</v>
      </c>
      <c r="P44" s="7">
        <v>1012</v>
      </c>
      <c r="Q44" s="7">
        <v>10766</v>
      </c>
      <c r="R44" s="7" t="s">
        <v>11</v>
      </c>
      <c r="S44" s="9" t="s">
        <v>12</v>
      </c>
      <c r="T44" s="7" t="s">
        <v>19</v>
      </c>
      <c r="U44" s="7" t="s">
        <v>44</v>
      </c>
      <c r="V44" s="7" t="s">
        <v>86</v>
      </c>
      <c r="W44" s="9" t="s">
        <v>151</v>
      </c>
    </row>
    <row r="45" spans="1:23" ht="34" x14ac:dyDescent="0.2">
      <c r="A45" s="7" t="s">
        <v>102</v>
      </c>
      <c r="B45" s="7">
        <v>4</v>
      </c>
      <c r="C45" s="7" t="s">
        <v>16</v>
      </c>
      <c r="D45" s="7">
        <v>26672165</v>
      </c>
      <c r="E45" s="7" t="s">
        <v>17</v>
      </c>
      <c r="F45" s="7" t="s">
        <v>8</v>
      </c>
      <c r="G45" s="7">
        <v>5360</v>
      </c>
      <c r="H45" s="7">
        <v>0.66791</v>
      </c>
      <c r="I45" s="7">
        <v>-117.42100000000001</v>
      </c>
      <c r="J45" s="7">
        <v>23.139199999999999</v>
      </c>
      <c r="K45" s="8">
        <v>3.8837999999999999E-7</v>
      </c>
      <c r="L45" s="7">
        <v>-0.219306</v>
      </c>
      <c r="M45" s="7">
        <v>4.3283299999999997E-2</v>
      </c>
      <c r="N45" s="8">
        <v>4.0461799999999998E-7</v>
      </c>
      <c r="O45" s="7" t="s">
        <v>18</v>
      </c>
      <c r="P45" s="7">
        <v>405</v>
      </c>
      <c r="Q45" s="7">
        <v>3090</v>
      </c>
      <c r="R45" s="7" t="s">
        <v>11</v>
      </c>
      <c r="S45" s="9" t="s">
        <v>12</v>
      </c>
      <c r="T45" s="7" t="s">
        <v>19</v>
      </c>
      <c r="U45" s="7" t="s">
        <v>14</v>
      </c>
      <c r="V45" s="7" t="s">
        <v>15</v>
      </c>
      <c r="W45" s="9" t="s">
        <v>137</v>
      </c>
    </row>
    <row r="46" spans="1:23" ht="34" x14ac:dyDescent="0.2">
      <c r="A46" s="7" t="s">
        <v>105</v>
      </c>
      <c r="B46" s="7">
        <v>4</v>
      </c>
      <c r="C46" s="7" t="s">
        <v>7</v>
      </c>
      <c r="D46" s="7">
        <v>26672139</v>
      </c>
      <c r="E46" s="7" t="s">
        <v>8</v>
      </c>
      <c r="F46" s="7" t="s">
        <v>9</v>
      </c>
      <c r="G46" s="7">
        <v>4905</v>
      </c>
      <c r="H46" s="7">
        <v>0.63394499999999998</v>
      </c>
      <c r="I46" s="7">
        <v>-161.983</v>
      </c>
      <c r="J46" s="7">
        <v>32.119300000000003</v>
      </c>
      <c r="K46" s="8">
        <v>4.57881E-7</v>
      </c>
      <c r="L46" s="7">
        <v>-0.15701399999999999</v>
      </c>
      <c r="M46" s="7">
        <v>3.1029999999999999E-2</v>
      </c>
      <c r="N46" s="8">
        <v>4.1911600000000001E-7</v>
      </c>
      <c r="O46" s="7" t="s">
        <v>10</v>
      </c>
      <c r="P46" s="7">
        <v>1115</v>
      </c>
      <c r="Q46" s="7">
        <v>2169</v>
      </c>
      <c r="R46" s="7" t="s">
        <v>11</v>
      </c>
      <c r="S46" s="9" t="s">
        <v>12</v>
      </c>
      <c r="T46" s="7" t="s">
        <v>13</v>
      </c>
      <c r="U46" s="7" t="s">
        <v>14</v>
      </c>
      <c r="V46" s="7" t="s">
        <v>15</v>
      </c>
      <c r="W46" s="9" t="s">
        <v>137</v>
      </c>
    </row>
    <row r="47" spans="1:23" ht="17" x14ac:dyDescent="0.2">
      <c r="A47" s="7" t="s">
        <v>71</v>
      </c>
      <c r="B47" s="7">
        <v>12</v>
      </c>
      <c r="C47" s="7" t="s">
        <v>42</v>
      </c>
      <c r="D47" s="7">
        <v>25516226</v>
      </c>
      <c r="E47" s="7" t="s">
        <v>17</v>
      </c>
      <c r="F47" s="7" t="s">
        <v>84</v>
      </c>
      <c r="G47" s="7">
        <v>8900</v>
      </c>
      <c r="H47" s="7">
        <v>0.562303</v>
      </c>
      <c r="I47" s="7">
        <v>-202.386</v>
      </c>
      <c r="J47" s="7">
        <v>40.161799999999999</v>
      </c>
      <c r="K47" s="8">
        <v>4.6732599999999999E-7</v>
      </c>
      <c r="L47" s="7">
        <v>-0.125474</v>
      </c>
      <c r="M47" s="7">
        <v>2.4863900000000001E-2</v>
      </c>
      <c r="N47" s="8">
        <v>4.5015199999999999E-7</v>
      </c>
      <c r="O47" s="7" t="s">
        <v>81</v>
      </c>
      <c r="P47" s="7">
        <v>2103</v>
      </c>
      <c r="Q47" s="7">
        <v>3823</v>
      </c>
      <c r="R47" s="7" t="s">
        <v>11</v>
      </c>
      <c r="S47" s="9" t="s">
        <v>33</v>
      </c>
      <c r="T47" s="7" t="s">
        <v>13</v>
      </c>
      <c r="U47" s="7" t="s">
        <v>34</v>
      </c>
      <c r="V47" s="7" t="s">
        <v>35</v>
      </c>
      <c r="W47" s="9" t="s">
        <v>151</v>
      </c>
    </row>
    <row r="48" spans="1:23" ht="17" x14ac:dyDescent="0.2">
      <c r="A48" s="7" t="str">
        <f ca="1">A$16</f>
        <v>B2</v>
      </c>
      <c r="B48" s="7">
        <v>23</v>
      </c>
      <c r="C48" s="7" t="s">
        <v>55</v>
      </c>
      <c r="D48" s="7">
        <v>83869794</v>
      </c>
      <c r="E48" s="7" t="s">
        <v>9</v>
      </c>
      <c r="F48" s="7" t="s">
        <v>8</v>
      </c>
      <c r="G48" s="7">
        <v>22582</v>
      </c>
      <c r="H48" s="7">
        <v>0.91617199999999999</v>
      </c>
      <c r="I48" s="7">
        <v>-193.221</v>
      </c>
      <c r="J48" s="7">
        <v>38.594000000000001</v>
      </c>
      <c r="K48" s="8">
        <v>5.5425499999999996E-7</v>
      </c>
      <c r="L48" s="7">
        <v>-0.129723</v>
      </c>
      <c r="M48" s="7">
        <v>2.5941100000000002E-2</v>
      </c>
      <c r="N48" s="8">
        <v>5.7135800000000005E-7</v>
      </c>
      <c r="O48" s="7" t="s">
        <v>106</v>
      </c>
      <c r="P48" s="7">
        <v>6882</v>
      </c>
      <c r="Q48" s="7">
        <v>14173</v>
      </c>
      <c r="R48" s="7" t="s">
        <v>11</v>
      </c>
      <c r="S48" s="9" t="s">
        <v>12</v>
      </c>
      <c r="T48" s="7" t="s">
        <v>13</v>
      </c>
      <c r="U48" s="7" t="s">
        <v>54</v>
      </c>
      <c r="V48" s="7" t="s">
        <v>107</v>
      </c>
      <c r="W48" s="9" t="s">
        <v>151</v>
      </c>
    </row>
    <row r="49" spans="1:23" ht="34" x14ac:dyDescent="0.2">
      <c r="A49" s="7" t="s">
        <v>108</v>
      </c>
      <c r="B49" s="7">
        <v>13</v>
      </c>
      <c r="C49" s="7" t="s">
        <v>56</v>
      </c>
      <c r="D49" s="7">
        <v>95301363</v>
      </c>
      <c r="E49" s="7" t="s">
        <v>8</v>
      </c>
      <c r="F49" s="7" t="s">
        <v>17</v>
      </c>
      <c r="G49" s="7">
        <v>3907</v>
      </c>
      <c r="H49" s="7">
        <v>4.5431300000000001E-2</v>
      </c>
      <c r="I49" s="7">
        <v>31.773399999999999</v>
      </c>
      <c r="J49" s="7">
        <v>6.0513700000000004</v>
      </c>
      <c r="K49" s="8">
        <v>1.51594E-7</v>
      </c>
      <c r="L49" s="7">
        <v>0.86767300000000003</v>
      </c>
      <c r="M49" s="7">
        <v>0.17368800000000001</v>
      </c>
      <c r="N49" s="8">
        <v>5.8658400000000001E-7</v>
      </c>
      <c r="O49" s="7" t="s">
        <v>109</v>
      </c>
      <c r="P49" s="7">
        <v>74</v>
      </c>
      <c r="Q49" s="7">
        <v>273</v>
      </c>
      <c r="R49" s="7" t="s">
        <v>11</v>
      </c>
      <c r="S49" s="9" t="s">
        <v>110</v>
      </c>
      <c r="T49" s="7" t="s">
        <v>111</v>
      </c>
      <c r="U49" s="7" t="s">
        <v>57</v>
      </c>
      <c r="V49" s="7" t="s">
        <v>112</v>
      </c>
      <c r="W49" s="9" t="s">
        <v>153</v>
      </c>
    </row>
    <row r="50" spans="1:23" ht="34" x14ac:dyDescent="0.2">
      <c r="A50" s="7" t="s">
        <v>71</v>
      </c>
      <c r="B50" s="7">
        <v>2</v>
      </c>
      <c r="C50" s="7" t="s">
        <v>20</v>
      </c>
      <c r="D50" s="7">
        <v>112015789</v>
      </c>
      <c r="E50" s="7" t="s">
        <v>17</v>
      </c>
      <c r="F50" s="7" t="s">
        <v>8</v>
      </c>
      <c r="G50" s="7">
        <v>8909</v>
      </c>
      <c r="H50" s="7">
        <v>0.48653000000000002</v>
      </c>
      <c r="I50" s="7">
        <v>-187.78800000000001</v>
      </c>
      <c r="J50" s="7">
        <v>37.604300000000002</v>
      </c>
      <c r="K50" s="8">
        <v>5.9208299999999997E-7</v>
      </c>
      <c r="L50" s="7">
        <v>-0.132798</v>
      </c>
      <c r="M50" s="7">
        <v>2.6601199999999998E-2</v>
      </c>
      <c r="N50" s="8">
        <v>5.9700200000000001E-7</v>
      </c>
      <c r="O50" s="7" t="s">
        <v>21</v>
      </c>
      <c r="P50" s="7">
        <v>2024</v>
      </c>
      <c r="Q50" s="7">
        <v>3728</v>
      </c>
      <c r="R50" s="7" t="s">
        <v>11</v>
      </c>
      <c r="S50" s="9" t="s">
        <v>12</v>
      </c>
      <c r="T50" s="7" t="s">
        <v>13</v>
      </c>
      <c r="U50" s="7" t="s">
        <v>22</v>
      </c>
      <c r="V50" s="7" t="s">
        <v>23</v>
      </c>
      <c r="W50" s="9" t="s">
        <v>149</v>
      </c>
    </row>
    <row r="51" spans="1:23" ht="34" x14ac:dyDescent="0.2">
      <c r="A51" s="7" t="str">
        <f ca="1">A$16</f>
        <v>B2</v>
      </c>
      <c r="B51" s="7">
        <v>16</v>
      </c>
      <c r="C51" s="7" t="s">
        <v>50</v>
      </c>
      <c r="D51" s="7">
        <v>275943</v>
      </c>
      <c r="E51" s="7" t="s">
        <v>96</v>
      </c>
      <c r="F51" s="7" t="s">
        <v>8</v>
      </c>
      <c r="G51" s="7">
        <v>23547</v>
      </c>
      <c r="H51" s="7">
        <v>0.87346599999999996</v>
      </c>
      <c r="I51" s="7">
        <v>-156.06200000000001</v>
      </c>
      <c r="J51" s="7">
        <v>31.369199999999999</v>
      </c>
      <c r="K51" s="8">
        <v>6.5239300000000001E-7</v>
      </c>
      <c r="L51" s="7">
        <v>-0.15859599999999999</v>
      </c>
      <c r="M51" s="7">
        <v>3.1815900000000001E-2</v>
      </c>
      <c r="N51" s="8">
        <v>6.2026200000000003E-7</v>
      </c>
      <c r="O51" s="7" t="s">
        <v>97</v>
      </c>
      <c r="P51" s="7">
        <v>7975</v>
      </c>
      <c r="Q51" s="7">
        <v>15933</v>
      </c>
      <c r="R51" s="7" t="s">
        <v>11</v>
      </c>
      <c r="S51" s="9" t="s">
        <v>12</v>
      </c>
      <c r="T51" s="7" t="s">
        <v>13</v>
      </c>
      <c r="U51" s="7" t="s">
        <v>51</v>
      </c>
      <c r="V51" s="7" t="s">
        <v>133</v>
      </c>
      <c r="W51" s="9" t="s">
        <v>98</v>
      </c>
    </row>
    <row r="52" spans="1:23" ht="34" x14ac:dyDescent="0.2">
      <c r="A52" s="7" t="str">
        <f ca="1">A$16</f>
        <v>B2</v>
      </c>
      <c r="B52" s="7">
        <v>11</v>
      </c>
      <c r="C52" s="7" t="s">
        <v>59</v>
      </c>
      <c r="D52" s="7">
        <v>101050934</v>
      </c>
      <c r="E52" s="7" t="s">
        <v>8</v>
      </c>
      <c r="F52" s="7" t="s">
        <v>84</v>
      </c>
      <c r="G52" s="7">
        <v>22634</v>
      </c>
      <c r="H52" s="7">
        <v>0.137713</v>
      </c>
      <c r="I52" s="7">
        <v>-191.77799999999999</v>
      </c>
      <c r="J52" s="7">
        <v>38.798499999999997</v>
      </c>
      <c r="K52" s="8">
        <v>7.6963100000000002E-7</v>
      </c>
      <c r="L52" s="7">
        <v>-0.12740000000000001</v>
      </c>
      <c r="M52" s="7">
        <v>2.5784899999999999E-2</v>
      </c>
      <c r="N52" s="8">
        <v>7.7780100000000002E-7</v>
      </c>
      <c r="O52" s="7" t="s">
        <v>113</v>
      </c>
      <c r="P52" s="7">
        <v>1556</v>
      </c>
      <c r="Q52" s="7">
        <v>3538</v>
      </c>
      <c r="R52" s="7" t="s">
        <v>11</v>
      </c>
      <c r="S52" s="9" t="s">
        <v>12</v>
      </c>
      <c r="T52" s="7" t="s">
        <v>13</v>
      </c>
      <c r="U52" s="7" t="s">
        <v>58</v>
      </c>
      <c r="V52" s="7" t="s">
        <v>134</v>
      </c>
      <c r="W52" s="9" t="s">
        <v>146</v>
      </c>
    </row>
    <row r="53" spans="1:23" ht="17" x14ac:dyDescent="0.2">
      <c r="A53" s="7" t="str">
        <f ca="1">A$35</f>
        <v>B1</v>
      </c>
      <c r="B53" s="7">
        <v>23</v>
      </c>
      <c r="C53" s="7" t="s">
        <v>55</v>
      </c>
      <c r="D53" s="7">
        <v>83869794</v>
      </c>
      <c r="E53" s="7" t="s">
        <v>9</v>
      </c>
      <c r="F53" s="7" t="s">
        <v>8</v>
      </c>
      <c r="G53" s="7">
        <v>20443</v>
      </c>
      <c r="H53" s="7">
        <v>0.91547199999999995</v>
      </c>
      <c r="I53" s="7">
        <v>-185.77199999999999</v>
      </c>
      <c r="J53" s="7">
        <v>37.670499999999997</v>
      </c>
      <c r="K53" s="8">
        <v>8.1604799999999995E-7</v>
      </c>
      <c r="L53" s="7">
        <v>-0.130911</v>
      </c>
      <c r="M53" s="7">
        <v>2.6548800000000001E-2</v>
      </c>
      <c r="N53" s="8">
        <v>8.1823000000000004E-7</v>
      </c>
      <c r="O53" s="7" t="s">
        <v>106</v>
      </c>
      <c r="P53" s="7">
        <v>6882</v>
      </c>
      <c r="Q53" s="7">
        <v>12166</v>
      </c>
      <c r="R53" s="7" t="s">
        <v>11</v>
      </c>
      <c r="S53" s="9" t="s">
        <v>12</v>
      </c>
      <c r="T53" s="7" t="s">
        <v>13</v>
      </c>
      <c r="U53" s="7" t="s">
        <v>54</v>
      </c>
      <c r="V53" s="7" t="s">
        <v>107</v>
      </c>
      <c r="W53" s="9" t="s">
        <v>151</v>
      </c>
    </row>
    <row r="54" spans="1:23" ht="17" x14ac:dyDescent="0.2">
      <c r="A54" s="7" t="str">
        <f ca="1">A$35</f>
        <v>B1</v>
      </c>
      <c r="B54" s="7">
        <v>6</v>
      </c>
      <c r="C54" s="7" t="s">
        <v>114</v>
      </c>
      <c r="D54" s="7">
        <v>123273365</v>
      </c>
      <c r="E54" s="7" t="s">
        <v>115</v>
      </c>
      <c r="F54" s="7" t="s">
        <v>9</v>
      </c>
      <c r="G54" s="7">
        <v>20551</v>
      </c>
      <c r="H54" s="7">
        <v>0.186171</v>
      </c>
      <c r="I54" s="7">
        <v>-197.80600000000001</v>
      </c>
      <c r="J54" s="7">
        <v>40.253700000000002</v>
      </c>
      <c r="K54" s="8">
        <v>8.9247300000000003E-7</v>
      </c>
      <c r="L54" s="7">
        <v>-0.122075</v>
      </c>
      <c r="M54" s="7">
        <v>2.4806100000000001E-2</v>
      </c>
      <c r="N54" s="8">
        <v>8.6025400000000005E-7</v>
      </c>
      <c r="O54" s="7" t="s">
        <v>87</v>
      </c>
      <c r="P54" s="7">
        <v>2288</v>
      </c>
      <c r="Q54" s="7">
        <v>4327</v>
      </c>
      <c r="R54" s="7" t="s">
        <v>11</v>
      </c>
      <c r="S54" s="9" t="s">
        <v>88</v>
      </c>
      <c r="T54" s="7" t="s">
        <v>13</v>
      </c>
      <c r="U54" s="7" t="s">
        <v>116</v>
      </c>
      <c r="V54" s="7" t="s">
        <v>89</v>
      </c>
      <c r="W54" s="9" t="s">
        <v>28</v>
      </c>
    </row>
    <row r="55" spans="1:23" ht="34" x14ac:dyDescent="0.2">
      <c r="A55" s="7" t="s">
        <v>70</v>
      </c>
      <c r="B55" s="7">
        <v>4</v>
      </c>
      <c r="C55" s="7" t="s">
        <v>7</v>
      </c>
      <c r="D55" s="7">
        <v>26672139</v>
      </c>
      <c r="E55" s="7" t="s">
        <v>8</v>
      </c>
      <c r="F55" s="7" t="s">
        <v>9</v>
      </c>
      <c r="G55" s="7">
        <v>6198</v>
      </c>
      <c r="H55" s="7">
        <v>0.64335299999999995</v>
      </c>
      <c r="I55" s="7">
        <v>-116.78400000000001</v>
      </c>
      <c r="J55" s="7">
        <v>23.720199999999998</v>
      </c>
      <c r="K55" s="8">
        <v>8.5056800000000002E-7</v>
      </c>
      <c r="L55" s="7">
        <v>-0.207561</v>
      </c>
      <c r="M55" s="7">
        <v>4.2234899999999999E-2</v>
      </c>
      <c r="N55" s="8">
        <v>8.9037500000000003E-7</v>
      </c>
      <c r="O55" s="7" t="s">
        <v>10</v>
      </c>
      <c r="P55" s="7">
        <v>405</v>
      </c>
      <c r="Q55" s="7">
        <v>3659</v>
      </c>
      <c r="R55" s="7" t="s">
        <v>11</v>
      </c>
      <c r="S55" s="9" t="s">
        <v>12</v>
      </c>
      <c r="T55" s="7" t="s">
        <v>13</v>
      </c>
      <c r="U55" s="7" t="s">
        <v>14</v>
      </c>
      <c r="V55" s="7" t="s">
        <v>15</v>
      </c>
      <c r="W55" s="9" t="s">
        <v>137</v>
      </c>
    </row>
    <row r="56" spans="1:23" ht="17" x14ac:dyDescent="0.2">
      <c r="A56" s="7" t="str">
        <f ca="1">A$35</f>
        <v>B1</v>
      </c>
      <c r="B56" s="7">
        <v>12</v>
      </c>
      <c r="C56" s="7" t="s">
        <v>43</v>
      </c>
      <c r="D56" s="7">
        <v>123410716</v>
      </c>
      <c r="E56" s="7" t="s">
        <v>9</v>
      </c>
      <c r="F56" s="7" t="s">
        <v>8</v>
      </c>
      <c r="G56" s="7">
        <v>20085</v>
      </c>
      <c r="H56" s="7">
        <v>0.110456</v>
      </c>
      <c r="I56" s="7">
        <v>-154.21299999999999</v>
      </c>
      <c r="J56" s="7">
        <v>31.4499</v>
      </c>
      <c r="K56" s="8">
        <v>9.4166200000000003E-7</v>
      </c>
      <c r="L56" s="7">
        <v>-0.155913</v>
      </c>
      <c r="M56" s="7">
        <v>3.1801999999999997E-2</v>
      </c>
      <c r="N56" s="8">
        <v>9.4564400000000005E-7</v>
      </c>
      <c r="O56" s="7" t="s">
        <v>117</v>
      </c>
      <c r="P56" s="7" t="s">
        <v>116</v>
      </c>
      <c r="Q56" s="7" t="s">
        <v>116</v>
      </c>
      <c r="R56" s="7" t="s">
        <v>32</v>
      </c>
      <c r="S56" s="9" t="s">
        <v>33</v>
      </c>
      <c r="T56" s="7" t="s">
        <v>13</v>
      </c>
      <c r="U56" s="7" t="s">
        <v>34</v>
      </c>
      <c r="V56" s="7" t="s">
        <v>35</v>
      </c>
      <c r="W56" s="9" t="s">
        <v>151</v>
      </c>
    </row>
    <row r="57" spans="1:23" ht="34" x14ac:dyDescent="0.2">
      <c r="A57" s="7" t="s">
        <v>105</v>
      </c>
      <c r="B57" s="7">
        <v>4</v>
      </c>
      <c r="C57" s="7" t="s">
        <v>16</v>
      </c>
      <c r="D57" s="7">
        <v>26672165</v>
      </c>
      <c r="E57" s="7" t="s">
        <v>17</v>
      </c>
      <c r="F57" s="7" t="s">
        <v>8</v>
      </c>
      <c r="G57" s="7">
        <v>4958</v>
      </c>
      <c r="H57" s="7">
        <v>0.65641400000000005</v>
      </c>
      <c r="I57" s="7">
        <v>-154.23500000000001</v>
      </c>
      <c r="J57" s="7">
        <v>31.9041</v>
      </c>
      <c r="K57" s="8">
        <v>1.33581E-6</v>
      </c>
      <c r="L57" s="7">
        <v>-0.151528</v>
      </c>
      <c r="M57" s="7">
        <v>3.1223399999999998E-2</v>
      </c>
      <c r="N57" s="8">
        <v>1.21599E-6</v>
      </c>
      <c r="O57" s="7" t="s">
        <v>18</v>
      </c>
      <c r="P57" s="7">
        <v>1115</v>
      </c>
      <c r="Q57" s="7">
        <v>2169</v>
      </c>
      <c r="R57" s="7" t="s">
        <v>11</v>
      </c>
      <c r="S57" s="9" t="s">
        <v>12</v>
      </c>
      <c r="T57" s="7" t="s">
        <v>19</v>
      </c>
      <c r="U57" s="7" t="s">
        <v>14</v>
      </c>
      <c r="V57" s="7" t="s">
        <v>15</v>
      </c>
      <c r="W57" s="9" t="s">
        <v>137</v>
      </c>
    </row>
    <row r="58" spans="1:23" ht="17" x14ac:dyDescent="0.2">
      <c r="A58" s="7" t="s">
        <v>38</v>
      </c>
      <c r="B58" s="7">
        <v>1</v>
      </c>
      <c r="C58" s="7" t="s">
        <v>61</v>
      </c>
      <c r="D58" s="7">
        <v>180274605</v>
      </c>
      <c r="E58" s="7" t="s">
        <v>9</v>
      </c>
      <c r="F58" s="7" t="s">
        <v>84</v>
      </c>
      <c r="G58" s="7">
        <v>21807</v>
      </c>
      <c r="H58" s="7">
        <v>0.15070800000000001</v>
      </c>
      <c r="I58" s="7">
        <v>-171.15299999999999</v>
      </c>
      <c r="J58" s="7">
        <v>36.083100000000002</v>
      </c>
      <c r="K58" s="8">
        <v>2.10266E-6</v>
      </c>
      <c r="L58" s="7">
        <v>-0.13145499999999999</v>
      </c>
      <c r="M58" s="7">
        <v>2.7256900000000001E-2</v>
      </c>
      <c r="N58" s="8">
        <v>1.4155400000000001E-6</v>
      </c>
      <c r="O58" s="7" t="s">
        <v>118</v>
      </c>
      <c r="P58" s="7">
        <v>2180</v>
      </c>
      <c r="Q58" s="7">
        <v>3973</v>
      </c>
      <c r="R58" s="7" t="s">
        <v>119</v>
      </c>
      <c r="S58" s="9" t="s">
        <v>33</v>
      </c>
      <c r="T58" s="7" t="s">
        <v>13</v>
      </c>
      <c r="U58" s="7" t="s">
        <v>60</v>
      </c>
      <c r="V58" s="13" t="s">
        <v>28</v>
      </c>
      <c r="W58" s="9" t="s">
        <v>150</v>
      </c>
    </row>
    <row r="59" spans="1:23" ht="34" x14ac:dyDescent="0.2">
      <c r="A59" s="7" t="str">
        <f ca="1">A$8</f>
        <v>B3</v>
      </c>
      <c r="B59" s="7">
        <v>5</v>
      </c>
      <c r="C59" s="7" t="s">
        <v>62</v>
      </c>
      <c r="D59" s="7">
        <v>840227</v>
      </c>
      <c r="E59" s="7" t="s">
        <v>17</v>
      </c>
      <c r="F59" s="7" t="s">
        <v>8</v>
      </c>
      <c r="G59" s="7">
        <v>15048</v>
      </c>
      <c r="H59" s="7">
        <v>0.37716</v>
      </c>
      <c r="I59" s="7">
        <v>-72.938400000000001</v>
      </c>
      <c r="J59" s="7">
        <v>15.140499999999999</v>
      </c>
      <c r="K59" s="8">
        <v>1.4540800000000001E-6</v>
      </c>
      <c r="L59" s="7">
        <v>-0.31818299999999999</v>
      </c>
      <c r="M59" s="7">
        <v>6.6254800000000003E-2</v>
      </c>
      <c r="N59" s="8">
        <v>1.5676E-6</v>
      </c>
      <c r="O59" s="7" t="s">
        <v>120</v>
      </c>
      <c r="P59" s="7">
        <v>1000</v>
      </c>
      <c r="Q59" s="7">
        <v>10512</v>
      </c>
      <c r="R59" s="7" t="s">
        <v>11</v>
      </c>
      <c r="S59" s="9" t="s">
        <v>12</v>
      </c>
      <c r="T59" s="7" t="s">
        <v>121</v>
      </c>
      <c r="U59" s="7" t="s">
        <v>63</v>
      </c>
      <c r="V59" s="7" t="s">
        <v>122</v>
      </c>
      <c r="W59" s="9" t="s">
        <v>147</v>
      </c>
    </row>
    <row r="60" spans="1:23" ht="17" x14ac:dyDescent="0.2">
      <c r="A60" s="7" t="str">
        <f ca="1">A$16</f>
        <v>B2</v>
      </c>
      <c r="B60" s="7">
        <v>4</v>
      </c>
      <c r="C60" s="7" t="s">
        <v>64</v>
      </c>
      <c r="D60" s="7">
        <v>98106033</v>
      </c>
      <c r="E60" s="7" t="s">
        <v>84</v>
      </c>
      <c r="F60" s="7" t="s">
        <v>9</v>
      </c>
      <c r="G60" s="7">
        <v>23805</v>
      </c>
      <c r="H60" s="7">
        <v>0.17704300000000001</v>
      </c>
      <c r="I60" s="7">
        <v>-189.494</v>
      </c>
      <c r="J60" s="7">
        <v>40.455599999999997</v>
      </c>
      <c r="K60" s="8">
        <v>2.8133700000000001E-6</v>
      </c>
      <c r="L60" s="7">
        <v>-0.115781</v>
      </c>
      <c r="M60" s="7">
        <v>2.4167000000000001E-2</v>
      </c>
      <c r="N60" s="8">
        <v>1.66056E-6</v>
      </c>
      <c r="O60" s="7" t="s">
        <v>123</v>
      </c>
      <c r="P60" s="7">
        <v>2276</v>
      </c>
      <c r="Q60" s="7">
        <v>5195</v>
      </c>
      <c r="R60" s="7" t="s">
        <v>11</v>
      </c>
      <c r="S60" s="9" t="s">
        <v>124</v>
      </c>
      <c r="T60" s="7" t="s">
        <v>13</v>
      </c>
      <c r="U60" s="7" t="s">
        <v>65</v>
      </c>
      <c r="V60" s="7" t="s">
        <v>135</v>
      </c>
      <c r="W60" s="9" t="s">
        <v>151</v>
      </c>
    </row>
    <row r="61" spans="1:23" ht="34" x14ac:dyDescent="0.2">
      <c r="A61" s="7" t="str">
        <f ca="1">A$35</f>
        <v>B1</v>
      </c>
      <c r="B61" s="7">
        <v>1</v>
      </c>
      <c r="C61" s="7" t="s">
        <v>67</v>
      </c>
      <c r="D61" s="7">
        <v>208103054</v>
      </c>
      <c r="E61" s="7" t="s">
        <v>125</v>
      </c>
      <c r="F61" s="7" t="s">
        <v>84</v>
      </c>
      <c r="G61" s="7">
        <v>20782</v>
      </c>
      <c r="H61" s="7">
        <v>0.94488000000000005</v>
      </c>
      <c r="I61" s="7">
        <v>110.295</v>
      </c>
      <c r="J61" s="7">
        <v>23.174700000000001</v>
      </c>
      <c r="K61" s="8">
        <v>1.94273E-6</v>
      </c>
      <c r="L61" s="7">
        <v>0.20536599999999999</v>
      </c>
      <c r="M61" s="7">
        <v>4.3182499999999999E-2</v>
      </c>
      <c r="N61" s="8">
        <v>1.9768299999999998E-6</v>
      </c>
      <c r="O61" s="7" t="s">
        <v>126</v>
      </c>
      <c r="P61" s="7">
        <v>7767</v>
      </c>
      <c r="Q61" s="7">
        <v>13189</v>
      </c>
      <c r="R61" s="7" t="s">
        <v>11</v>
      </c>
      <c r="S61" s="9" t="s">
        <v>127</v>
      </c>
      <c r="T61" s="7" t="s">
        <v>13</v>
      </c>
      <c r="U61" s="7" t="s">
        <v>66</v>
      </c>
      <c r="V61" s="7" t="s">
        <v>128</v>
      </c>
      <c r="W61" s="9" t="s">
        <v>154</v>
      </c>
    </row>
    <row r="62" spans="1:23" ht="17" x14ac:dyDescent="0.2">
      <c r="A62" s="7" t="str">
        <f ca="1">A$35</f>
        <v>B1</v>
      </c>
      <c r="B62" s="7">
        <v>4</v>
      </c>
      <c r="C62" s="7" t="s">
        <v>64</v>
      </c>
      <c r="D62" s="7">
        <v>98106033</v>
      </c>
      <c r="E62" s="7" t="s">
        <v>84</v>
      </c>
      <c r="F62" s="7" t="s">
        <v>9</v>
      </c>
      <c r="G62" s="7">
        <v>21548</v>
      </c>
      <c r="H62" s="7">
        <v>0.176095</v>
      </c>
      <c r="I62" s="7">
        <v>-182.238</v>
      </c>
      <c r="J62" s="7">
        <v>39.3429</v>
      </c>
      <c r="K62" s="8">
        <v>3.6207299999999999E-6</v>
      </c>
      <c r="L62" s="7">
        <v>-0.11773500000000001</v>
      </c>
      <c r="M62" s="7">
        <v>2.4844600000000001E-2</v>
      </c>
      <c r="N62" s="8">
        <v>2.14915E-6</v>
      </c>
      <c r="O62" s="7" t="s">
        <v>123</v>
      </c>
      <c r="P62" s="7">
        <v>2276</v>
      </c>
      <c r="Q62" s="7">
        <v>4450</v>
      </c>
      <c r="R62" s="7" t="s">
        <v>11</v>
      </c>
      <c r="S62" s="9" t="s">
        <v>124</v>
      </c>
      <c r="T62" s="7" t="s">
        <v>13</v>
      </c>
      <c r="U62" s="7" t="s">
        <v>65</v>
      </c>
      <c r="V62" s="7" t="s">
        <v>135</v>
      </c>
      <c r="W62" s="9" t="s">
        <v>151</v>
      </c>
    </row>
    <row r="63" spans="1:23" ht="17" x14ac:dyDescent="0.2">
      <c r="A63" s="7" t="str">
        <f ca="1">A$16</f>
        <v>B2</v>
      </c>
      <c r="B63" s="7">
        <v>12</v>
      </c>
      <c r="C63" s="7" t="s">
        <v>43</v>
      </c>
      <c r="D63" s="7">
        <v>123410716</v>
      </c>
      <c r="E63" s="7" t="s">
        <v>9</v>
      </c>
      <c r="F63" s="7" t="s">
        <v>8</v>
      </c>
      <c r="G63" s="7">
        <v>22188</v>
      </c>
      <c r="H63" s="7">
        <v>0.110398</v>
      </c>
      <c r="I63" s="7">
        <v>-153.32499999999999</v>
      </c>
      <c r="J63" s="7">
        <v>32.342500000000001</v>
      </c>
      <c r="K63" s="8">
        <v>2.1302899999999999E-6</v>
      </c>
      <c r="L63" s="7">
        <v>-0.14657600000000001</v>
      </c>
      <c r="M63" s="7">
        <v>3.0933700000000001E-2</v>
      </c>
      <c r="N63" s="8">
        <v>2.1541299999999998E-6</v>
      </c>
      <c r="O63" s="7" t="s">
        <v>117</v>
      </c>
      <c r="P63" s="7" t="s">
        <v>116</v>
      </c>
      <c r="Q63" s="7" t="s">
        <v>116</v>
      </c>
      <c r="R63" s="7" t="s">
        <v>32</v>
      </c>
      <c r="S63" s="9" t="s">
        <v>33</v>
      </c>
      <c r="T63" s="7" t="s">
        <v>13</v>
      </c>
      <c r="U63" s="7" t="s">
        <v>34</v>
      </c>
      <c r="V63" s="7" t="s">
        <v>35</v>
      </c>
      <c r="W63" s="9" t="s">
        <v>151</v>
      </c>
    </row>
  </sheetData>
  <mergeCells count="1">
    <mergeCell ref="A1:W1"/>
  </mergeCells>
  <pageMargins left="0.7" right="0.7" top="0.75" bottom="0.75" header="0.3" footer="0.3"/>
  <pageSetup paperSize="34" orientation="landscape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FAE99-2A12-9742-A2C2-CF2C24F0AEA1}">
  <dimension ref="A1:W36"/>
  <sheetViews>
    <sheetView showGridLines="0" zoomScaleNormal="194" workbookViewId="0">
      <selection activeCell="A25" sqref="A25:F36"/>
    </sheetView>
  </sheetViews>
  <sheetFormatPr baseColWidth="10" defaultRowHeight="16" x14ac:dyDescent="0.2"/>
  <cols>
    <col min="2" max="2" width="21.5" customWidth="1"/>
    <col min="3" max="3" width="16.33203125" customWidth="1"/>
    <col min="4" max="6" width="10.83203125" customWidth="1"/>
    <col min="8" max="8" width="10.83203125" customWidth="1"/>
    <col min="9" max="9" width="13.83203125" customWidth="1"/>
    <col min="10" max="10" width="16" customWidth="1"/>
    <col min="12" max="12" width="10.83203125" customWidth="1"/>
    <col min="14" max="14" width="13.6640625" customWidth="1"/>
    <col min="19" max="19" width="13.5" customWidth="1"/>
  </cols>
  <sheetData>
    <row r="1" spans="1:23" x14ac:dyDescent="0.2">
      <c r="A1" s="71" t="s">
        <v>68</v>
      </c>
      <c r="B1" s="71" t="s">
        <v>2</v>
      </c>
      <c r="C1" s="71" t="s">
        <v>69</v>
      </c>
      <c r="D1" s="71" t="s">
        <v>70</v>
      </c>
      <c r="E1" s="71" t="s">
        <v>71</v>
      </c>
      <c r="F1" s="71" t="s">
        <v>72</v>
      </c>
      <c r="G1" s="71" t="s">
        <v>3</v>
      </c>
      <c r="H1" s="71" t="s">
        <v>9</v>
      </c>
      <c r="I1" s="71" t="s">
        <v>73</v>
      </c>
      <c r="J1" s="71" t="s">
        <v>74</v>
      </c>
      <c r="K1" s="71" t="s">
        <v>4</v>
      </c>
      <c r="L1" s="71" t="s">
        <v>75</v>
      </c>
      <c r="M1" s="71" t="s">
        <v>5</v>
      </c>
      <c r="N1" s="71" t="s">
        <v>158</v>
      </c>
      <c r="R1" s="70"/>
      <c r="S1" s="70"/>
      <c r="T1" s="70"/>
      <c r="U1" s="70"/>
      <c r="V1" s="70"/>
      <c r="W1" s="70"/>
    </row>
    <row r="2" spans="1:23" x14ac:dyDescent="0.2">
      <c r="A2" s="72">
        <v>13</v>
      </c>
      <c r="B2" s="72" t="s">
        <v>56</v>
      </c>
      <c r="C2" s="72">
        <v>95301363</v>
      </c>
      <c r="D2" s="72" t="s">
        <v>8</v>
      </c>
      <c r="E2" s="72" t="s">
        <v>17</v>
      </c>
      <c r="F2" s="72">
        <v>3907</v>
      </c>
      <c r="G2" s="72">
        <v>4.5431300000000001E-2</v>
      </c>
      <c r="H2" s="72">
        <v>31.773399999999999</v>
      </c>
      <c r="I2" s="72">
        <v>6.0513700000000004</v>
      </c>
      <c r="J2" s="72">
        <v>1.51594E-7</v>
      </c>
      <c r="K2" s="72">
        <v>0.86767300000000003</v>
      </c>
      <c r="L2" s="72">
        <v>0.17368800000000001</v>
      </c>
      <c r="M2" s="72">
        <v>5.8658400000000001E-7</v>
      </c>
      <c r="N2" s="72">
        <v>1</v>
      </c>
      <c r="R2" s="58"/>
      <c r="S2" s="58"/>
      <c r="T2" s="58"/>
      <c r="U2" s="58"/>
      <c r="V2" s="58"/>
      <c r="W2" s="58"/>
    </row>
    <row r="3" spans="1:23" x14ac:dyDescent="0.2">
      <c r="A3" s="72">
        <v>13</v>
      </c>
      <c r="B3" s="72" t="s">
        <v>159</v>
      </c>
      <c r="C3" s="72">
        <v>113992471</v>
      </c>
      <c r="D3" s="72" t="s">
        <v>9</v>
      </c>
      <c r="E3" s="72" t="s">
        <v>84</v>
      </c>
      <c r="F3" s="72">
        <v>3906</v>
      </c>
      <c r="G3" s="72">
        <v>6.3364100000000007E-2</v>
      </c>
      <c r="H3" s="72">
        <v>32.424599999999998</v>
      </c>
      <c r="I3" s="72">
        <v>7.2389200000000002</v>
      </c>
      <c r="J3" s="72">
        <v>7.4919899999999997E-6</v>
      </c>
      <c r="K3" s="72">
        <v>0.61876799999999998</v>
      </c>
      <c r="L3" s="72">
        <v>0.14089599999999999</v>
      </c>
      <c r="M3" s="72">
        <v>1.1248E-5</v>
      </c>
      <c r="N3" s="72">
        <v>1</v>
      </c>
      <c r="R3" s="58"/>
      <c r="S3" s="58"/>
      <c r="T3" s="58"/>
      <c r="U3" s="58"/>
      <c r="V3" s="58"/>
      <c r="W3" s="58"/>
    </row>
    <row r="4" spans="1:23" x14ac:dyDescent="0.2">
      <c r="A4" s="72">
        <v>13</v>
      </c>
      <c r="B4" s="72" t="s">
        <v>160</v>
      </c>
      <c r="C4" s="72">
        <v>113996722</v>
      </c>
      <c r="D4" s="72" t="s">
        <v>9</v>
      </c>
      <c r="E4" s="72" t="s">
        <v>84</v>
      </c>
      <c r="F4" s="72">
        <v>3907</v>
      </c>
      <c r="G4" s="72">
        <v>6.3603800000000002E-2</v>
      </c>
      <c r="H4" s="72">
        <v>32.165799999999997</v>
      </c>
      <c r="I4" s="72">
        <v>7.2512400000000001</v>
      </c>
      <c r="J4" s="72">
        <v>9.1688200000000008E-6</v>
      </c>
      <c r="K4" s="72">
        <v>0.61174399999999995</v>
      </c>
      <c r="L4" s="72">
        <v>0.14050599999999999</v>
      </c>
      <c r="M4" s="72">
        <v>1.33757E-5</v>
      </c>
      <c r="N4" s="72">
        <v>1</v>
      </c>
      <c r="R4" s="58"/>
      <c r="S4" s="58"/>
      <c r="T4" s="58"/>
      <c r="U4" s="58"/>
      <c r="V4" s="58"/>
      <c r="W4" s="58"/>
    </row>
    <row r="5" spans="1:23" x14ac:dyDescent="0.2">
      <c r="A5" s="72">
        <v>13</v>
      </c>
      <c r="B5" s="72" t="s">
        <v>161</v>
      </c>
      <c r="C5" s="72">
        <v>113999724</v>
      </c>
      <c r="D5" s="72" t="s">
        <v>8</v>
      </c>
      <c r="E5" s="72" t="s">
        <v>17</v>
      </c>
      <c r="F5" s="72">
        <v>3907</v>
      </c>
      <c r="G5" s="72">
        <v>6.3603800000000002E-2</v>
      </c>
      <c r="H5" s="72">
        <v>32.189100000000003</v>
      </c>
      <c r="I5" s="72">
        <v>7.2632300000000001</v>
      </c>
      <c r="J5" s="72">
        <v>9.3453899999999996E-6</v>
      </c>
      <c r="K5" s="72">
        <v>0.61016800000000004</v>
      </c>
      <c r="L5" s="72">
        <v>0.14032500000000001</v>
      </c>
      <c r="M5" s="72">
        <v>1.3722300000000001E-5</v>
      </c>
      <c r="N5" s="72">
        <v>1</v>
      </c>
      <c r="R5" s="58"/>
      <c r="S5" s="58"/>
      <c r="T5" s="58"/>
      <c r="U5" s="58"/>
      <c r="V5" s="58"/>
      <c r="W5" s="58"/>
    </row>
    <row r="6" spans="1:23" x14ac:dyDescent="0.2">
      <c r="A6" s="72">
        <v>1</v>
      </c>
      <c r="B6" s="72" t="s">
        <v>162</v>
      </c>
      <c r="C6" s="72">
        <v>171064402</v>
      </c>
      <c r="D6" s="72" t="s">
        <v>9</v>
      </c>
      <c r="E6" s="72" t="s">
        <v>84</v>
      </c>
      <c r="F6" s="72">
        <v>3897</v>
      </c>
      <c r="G6" s="72">
        <v>0.10213</v>
      </c>
      <c r="H6" s="72">
        <v>37.4649</v>
      </c>
      <c r="I6" s="72">
        <v>8.8321799999999993</v>
      </c>
      <c r="J6" s="72">
        <v>2.2166599999999999E-5</v>
      </c>
      <c r="K6" s="72">
        <v>0.48027399999999998</v>
      </c>
      <c r="L6" s="72">
        <v>0.11461499999999999</v>
      </c>
      <c r="M6" s="72">
        <v>2.78532E-5</v>
      </c>
      <c r="N6" s="72">
        <v>1</v>
      </c>
      <c r="R6" s="58"/>
      <c r="S6" s="58"/>
      <c r="T6" s="58"/>
      <c r="U6" s="58"/>
      <c r="V6" s="58"/>
      <c r="W6" s="58"/>
    </row>
    <row r="7" spans="1:23" x14ac:dyDescent="0.2">
      <c r="A7" s="72">
        <v>13</v>
      </c>
      <c r="B7" s="72" t="s">
        <v>163</v>
      </c>
      <c r="C7" s="72">
        <v>114015173</v>
      </c>
      <c r="D7" s="72" t="s">
        <v>8</v>
      </c>
      <c r="E7" s="72" t="s">
        <v>17</v>
      </c>
      <c r="F7" s="72">
        <v>3907</v>
      </c>
      <c r="G7" s="72">
        <v>6.50115E-2</v>
      </c>
      <c r="H7" s="72">
        <v>30.913499999999999</v>
      </c>
      <c r="I7" s="72">
        <v>7.3069699999999997</v>
      </c>
      <c r="J7" s="72">
        <v>2.32981E-5</v>
      </c>
      <c r="K7" s="72">
        <v>0.57899299999999998</v>
      </c>
      <c r="L7" s="72">
        <v>0.13888800000000001</v>
      </c>
      <c r="M7" s="72">
        <v>3.0622099999999999E-5</v>
      </c>
      <c r="N7" s="72">
        <v>1</v>
      </c>
      <c r="R7" s="58"/>
      <c r="S7" s="58"/>
      <c r="T7" s="58"/>
      <c r="U7" s="58"/>
      <c r="V7" s="58"/>
      <c r="W7" s="58"/>
    </row>
    <row r="8" spans="1:23" x14ac:dyDescent="0.2">
      <c r="A8" s="72">
        <v>2</v>
      </c>
      <c r="B8" s="72" t="s">
        <v>164</v>
      </c>
      <c r="C8" s="72">
        <v>32575355</v>
      </c>
      <c r="D8" s="72" t="s">
        <v>17</v>
      </c>
      <c r="E8" s="72" t="s">
        <v>84</v>
      </c>
      <c r="F8" s="72">
        <v>3907</v>
      </c>
      <c r="G8" s="72">
        <v>0.119017</v>
      </c>
      <c r="H8" s="72">
        <v>-39.696399999999997</v>
      </c>
      <c r="I8" s="72">
        <v>9.4556199999999997</v>
      </c>
      <c r="J8" s="72">
        <v>2.6906999999999998E-5</v>
      </c>
      <c r="K8" s="72">
        <v>-0.44398799999999999</v>
      </c>
      <c r="L8" s="72">
        <v>0.10686</v>
      </c>
      <c r="M8" s="72">
        <v>3.25508E-5</v>
      </c>
      <c r="N8" s="72">
        <v>1</v>
      </c>
      <c r="R8" s="58"/>
      <c r="S8" s="58"/>
      <c r="T8" s="58"/>
      <c r="U8" s="58"/>
      <c r="V8" s="58"/>
      <c r="W8" s="58"/>
    </row>
    <row r="9" spans="1:23" x14ac:dyDescent="0.2">
      <c r="A9" s="72">
        <v>8</v>
      </c>
      <c r="B9" s="72" t="s">
        <v>165</v>
      </c>
      <c r="C9" s="72">
        <v>73981217</v>
      </c>
      <c r="D9" s="72" t="s">
        <v>17</v>
      </c>
      <c r="E9" s="72" t="s">
        <v>8</v>
      </c>
      <c r="F9" s="72">
        <v>3907</v>
      </c>
      <c r="G9" s="72">
        <v>0.25415900000000002</v>
      </c>
      <c r="H9" s="72">
        <v>-51.718699999999998</v>
      </c>
      <c r="I9" s="72">
        <v>12.928599999999999</v>
      </c>
      <c r="J9" s="72">
        <v>6.3256900000000001E-5</v>
      </c>
      <c r="K9" s="72">
        <v>-0.309415</v>
      </c>
      <c r="L9" s="72">
        <v>7.5314900000000004E-2</v>
      </c>
      <c r="M9" s="72">
        <v>3.9859800000000001E-5</v>
      </c>
      <c r="N9" s="72">
        <v>1</v>
      </c>
      <c r="R9" s="58"/>
      <c r="S9" s="58"/>
      <c r="T9" s="58"/>
      <c r="U9" s="58"/>
      <c r="V9" s="58"/>
      <c r="W9" s="58"/>
    </row>
    <row r="10" spans="1:23" x14ac:dyDescent="0.2">
      <c r="A10" s="72">
        <v>2</v>
      </c>
      <c r="B10" s="72" t="s">
        <v>233</v>
      </c>
      <c r="C10" s="72">
        <v>32395654</v>
      </c>
      <c r="D10" s="72" t="s">
        <v>9</v>
      </c>
      <c r="E10" s="72" t="s">
        <v>8</v>
      </c>
      <c r="F10" s="72">
        <v>3902</v>
      </c>
      <c r="G10" s="72">
        <v>0.124552</v>
      </c>
      <c r="H10" s="72">
        <v>-40.018300000000004</v>
      </c>
      <c r="I10" s="72">
        <v>9.7258099999999992</v>
      </c>
      <c r="J10" s="72">
        <v>3.8776499999999997E-5</v>
      </c>
      <c r="K10" s="72">
        <v>-0.42306500000000002</v>
      </c>
      <c r="L10" s="72">
        <v>0.103794</v>
      </c>
      <c r="M10" s="72">
        <v>4.5818100000000001E-5</v>
      </c>
      <c r="N10" s="72">
        <v>1</v>
      </c>
      <c r="R10" s="58"/>
      <c r="S10" s="58"/>
      <c r="T10" s="58"/>
      <c r="U10" s="58"/>
      <c r="V10" s="58"/>
      <c r="W10" s="58"/>
    </row>
    <row r="11" spans="1:23" x14ac:dyDescent="0.2">
      <c r="A11" s="72">
        <v>22</v>
      </c>
      <c r="B11" s="72" t="s">
        <v>234</v>
      </c>
      <c r="C11" s="72">
        <v>43143425</v>
      </c>
      <c r="D11" s="72" t="s">
        <v>9</v>
      </c>
      <c r="E11" s="72" t="s">
        <v>8</v>
      </c>
      <c r="F11" s="72">
        <v>3872</v>
      </c>
      <c r="G11" s="72">
        <v>0.22107399999999999</v>
      </c>
      <c r="H11" s="72">
        <v>49.436399999999999</v>
      </c>
      <c r="I11" s="72">
        <v>12.0944</v>
      </c>
      <c r="J11" s="72">
        <v>4.3594899999999998E-5</v>
      </c>
      <c r="K11" s="72">
        <v>0.33797100000000002</v>
      </c>
      <c r="L11" s="72">
        <v>8.2946400000000003E-2</v>
      </c>
      <c r="M11" s="72">
        <v>4.60988E-5</v>
      </c>
      <c r="N11" s="72">
        <v>1</v>
      </c>
      <c r="R11" s="58"/>
      <c r="S11" s="58"/>
      <c r="T11" s="58"/>
      <c r="U11" s="58"/>
      <c r="V11" s="58"/>
      <c r="W11" s="58"/>
    </row>
    <row r="12" spans="1:23" x14ac:dyDescent="0.2">
      <c r="A12" s="72">
        <v>19</v>
      </c>
      <c r="B12" s="72" t="s">
        <v>200</v>
      </c>
      <c r="C12" s="72">
        <v>12391643</v>
      </c>
      <c r="D12" s="72" t="s">
        <v>17</v>
      </c>
      <c r="E12" s="72" t="s">
        <v>8</v>
      </c>
      <c r="F12" s="72">
        <v>3906</v>
      </c>
      <c r="G12" s="72">
        <v>0.73374300000000003</v>
      </c>
      <c r="H12" s="72">
        <v>-52.040399999999998</v>
      </c>
      <c r="I12" s="72">
        <v>12.7707</v>
      </c>
      <c r="J12" s="72">
        <v>4.60156E-5</v>
      </c>
      <c r="K12" s="72">
        <v>-0.31908999999999998</v>
      </c>
      <c r="L12" s="72">
        <v>7.8476599999999994E-2</v>
      </c>
      <c r="M12" s="72">
        <v>4.7816799999999999E-5</v>
      </c>
      <c r="N12" s="72">
        <v>1</v>
      </c>
      <c r="R12" s="58"/>
      <c r="S12" s="58"/>
      <c r="T12" s="58"/>
      <c r="U12" s="58"/>
      <c r="V12" s="58"/>
      <c r="W12" s="58"/>
    </row>
    <row r="13" spans="1:23" x14ac:dyDescent="0.2">
      <c r="A13" s="72">
        <v>17</v>
      </c>
      <c r="B13" s="72" t="s">
        <v>235</v>
      </c>
      <c r="C13" s="72">
        <v>50675505</v>
      </c>
      <c r="D13" s="72" t="s">
        <v>9</v>
      </c>
      <c r="E13" s="72" t="s">
        <v>84</v>
      </c>
      <c r="F13" s="72">
        <v>3903</v>
      </c>
      <c r="G13" s="72">
        <v>0.393928</v>
      </c>
      <c r="H13" s="72">
        <v>-57.735900000000001</v>
      </c>
      <c r="I13" s="72">
        <v>14.2052</v>
      </c>
      <c r="J13" s="72">
        <v>4.8149899999999998E-5</v>
      </c>
      <c r="K13" s="72">
        <v>-0.28612300000000002</v>
      </c>
      <c r="L13" s="72">
        <v>7.0411799999999997E-2</v>
      </c>
      <c r="M13" s="72">
        <v>4.83272E-5</v>
      </c>
      <c r="N13" s="72">
        <v>1</v>
      </c>
      <c r="R13" s="58"/>
      <c r="S13" s="58"/>
      <c r="T13" s="58"/>
      <c r="U13" s="58"/>
      <c r="V13" s="58"/>
      <c r="W13" s="58"/>
    </row>
    <row r="14" spans="1:23" x14ac:dyDescent="0.2">
      <c r="A14" s="72">
        <v>16</v>
      </c>
      <c r="B14" s="72" t="s">
        <v>236</v>
      </c>
      <c r="C14" s="72">
        <v>406483</v>
      </c>
      <c r="D14" s="72" t="s">
        <v>84</v>
      </c>
      <c r="E14" s="72" t="s">
        <v>9</v>
      </c>
      <c r="F14" s="72">
        <v>3905</v>
      </c>
      <c r="G14" s="72">
        <v>0.50102400000000002</v>
      </c>
      <c r="H14" s="72">
        <v>59.286900000000003</v>
      </c>
      <c r="I14" s="72">
        <v>14.737</v>
      </c>
      <c r="J14" s="72">
        <v>5.7461199999999998E-5</v>
      </c>
      <c r="K14" s="72">
        <v>0.27298699999999998</v>
      </c>
      <c r="L14" s="72">
        <v>6.7400799999999997E-2</v>
      </c>
      <c r="M14" s="72">
        <v>5.1173700000000001E-5</v>
      </c>
      <c r="N14" s="72">
        <v>1</v>
      </c>
    </row>
    <row r="15" spans="1:23" x14ac:dyDescent="0.2">
      <c r="A15" s="72">
        <v>21</v>
      </c>
      <c r="B15" s="72" t="s">
        <v>237</v>
      </c>
      <c r="C15" s="72">
        <v>43672214</v>
      </c>
      <c r="D15" s="72" t="s">
        <v>84</v>
      </c>
      <c r="E15" s="72" t="s">
        <v>17</v>
      </c>
      <c r="F15" s="72">
        <v>3846</v>
      </c>
      <c r="G15" s="72">
        <v>0.86973500000000004</v>
      </c>
      <c r="H15" s="72">
        <v>-39.338200000000001</v>
      </c>
      <c r="I15" s="72">
        <v>10.0497</v>
      </c>
      <c r="J15" s="72">
        <v>9.0647699999999996E-5</v>
      </c>
      <c r="K15" s="72">
        <v>-0.38949699999999998</v>
      </c>
      <c r="L15" s="72">
        <v>9.6401700000000007E-2</v>
      </c>
      <c r="M15" s="72">
        <v>5.3369799999999998E-5</v>
      </c>
      <c r="N15" s="72">
        <v>1</v>
      </c>
    </row>
    <row r="16" spans="1:23" x14ac:dyDescent="0.2">
      <c r="A16" s="72">
        <v>23</v>
      </c>
      <c r="B16" s="72" t="s">
        <v>238</v>
      </c>
      <c r="C16" s="72">
        <v>154428737</v>
      </c>
      <c r="D16" s="72" t="s">
        <v>8</v>
      </c>
      <c r="E16" s="72" t="s">
        <v>17</v>
      </c>
      <c r="F16" s="72">
        <v>3906</v>
      </c>
      <c r="G16" s="72">
        <v>0.15770600000000001</v>
      </c>
      <c r="H16" s="72">
        <v>43.707599999999999</v>
      </c>
      <c r="I16" s="72">
        <v>10.826700000000001</v>
      </c>
      <c r="J16" s="72">
        <v>5.4134700000000002E-5</v>
      </c>
      <c r="K16" s="72">
        <v>0.37287599999999999</v>
      </c>
      <c r="L16" s="72">
        <v>9.2718599999999998E-2</v>
      </c>
      <c r="M16" s="72">
        <v>5.7807699999999999E-5</v>
      </c>
      <c r="N16" s="72">
        <v>1</v>
      </c>
    </row>
    <row r="17" spans="1:14" x14ac:dyDescent="0.2">
      <c r="A17" s="72">
        <v>11</v>
      </c>
      <c r="B17" s="72" t="s">
        <v>239</v>
      </c>
      <c r="C17" s="72">
        <v>10028610</v>
      </c>
      <c r="D17" s="72" t="s">
        <v>8</v>
      </c>
      <c r="E17" s="72" t="s">
        <v>9</v>
      </c>
      <c r="F17" s="72">
        <v>3892</v>
      </c>
      <c r="G17" s="72">
        <v>0.15159300000000001</v>
      </c>
      <c r="H17" s="72">
        <v>41.830500000000001</v>
      </c>
      <c r="I17" s="72">
        <v>10.4459</v>
      </c>
      <c r="J17" s="72">
        <v>6.2154699999999996E-5</v>
      </c>
      <c r="K17" s="72">
        <v>0.38335200000000003</v>
      </c>
      <c r="L17" s="72">
        <v>9.6129500000000007E-2</v>
      </c>
      <c r="M17" s="72">
        <v>6.6667000000000004E-5</v>
      </c>
      <c r="N17" s="72">
        <v>1</v>
      </c>
    </row>
    <row r="18" spans="1:14" x14ac:dyDescent="0.2">
      <c r="A18" s="72">
        <v>1</v>
      </c>
      <c r="B18" s="72" t="s">
        <v>176</v>
      </c>
      <c r="C18" s="72">
        <v>220102036</v>
      </c>
      <c r="D18" s="72" t="s">
        <v>8</v>
      </c>
      <c r="E18" s="72" t="s">
        <v>17</v>
      </c>
      <c r="F18" s="72">
        <v>3836</v>
      </c>
      <c r="G18" s="72">
        <v>0.52111600000000002</v>
      </c>
      <c r="H18" s="72">
        <v>58.325499999999998</v>
      </c>
      <c r="I18" s="72">
        <v>14.7484</v>
      </c>
      <c r="J18" s="72">
        <v>7.6626700000000003E-5</v>
      </c>
      <c r="K18" s="72">
        <v>0.268146</v>
      </c>
      <c r="L18" s="72">
        <v>6.73184E-2</v>
      </c>
      <c r="M18" s="72">
        <v>6.7978299999999999E-5</v>
      </c>
      <c r="N18" s="72">
        <v>1</v>
      </c>
    </row>
    <row r="19" spans="1:14" x14ac:dyDescent="0.2">
      <c r="A19" s="72">
        <v>5</v>
      </c>
      <c r="B19" s="72" t="s">
        <v>240</v>
      </c>
      <c r="C19" s="72">
        <v>170288034</v>
      </c>
      <c r="D19" s="72" t="s">
        <v>17</v>
      </c>
      <c r="E19" s="72" t="s">
        <v>8</v>
      </c>
      <c r="F19" s="72">
        <v>3907</v>
      </c>
      <c r="G19" s="72">
        <v>0.38597399999999998</v>
      </c>
      <c r="H19" s="72">
        <v>56.398099999999999</v>
      </c>
      <c r="I19" s="72">
        <v>14.228999999999999</v>
      </c>
      <c r="J19" s="72">
        <v>7.3828300000000006E-5</v>
      </c>
      <c r="K19" s="72">
        <v>0.27855799999999997</v>
      </c>
      <c r="L19" s="72">
        <v>7.0178299999999999E-2</v>
      </c>
      <c r="M19" s="72">
        <v>7.2088099999999998E-5</v>
      </c>
      <c r="N19" s="72">
        <v>1</v>
      </c>
    </row>
    <row r="20" spans="1:14" x14ac:dyDescent="0.2">
      <c r="A20" s="73">
        <v>12</v>
      </c>
      <c r="B20" s="73" t="s">
        <v>241</v>
      </c>
      <c r="C20" s="73">
        <v>40309185</v>
      </c>
      <c r="D20" s="73" t="s">
        <v>8</v>
      </c>
      <c r="E20" s="73" t="s">
        <v>17</v>
      </c>
      <c r="F20" s="73">
        <v>3907</v>
      </c>
      <c r="G20" s="73">
        <v>0.13719000000000001</v>
      </c>
      <c r="H20" s="73">
        <v>39.764800000000001</v>
      </c>
      <c r="I20" s="73">
        <v>10.083600000000001</v>
      </c>
      <c r="J20" s="73">
        <v>8.0293500000000006E-5</v>
      </c>
      <c r="K20" s="73">
        <v>0.39108399999999999</v>
      </c>
      <c r="L20" s="73">
        <v>9.8943699999999996E-2</v>
      </c>
      <c r="M20" s="73">
        <v>7.7309400000000002E-5</v>
      </c>
      <c r="N20" s="73">
        <v>1</v>
      </c>
    </row>
    <row r="21" spans="1:14" x14ac:dyDescent="0.2">
      <c r="A21" s="72">
        <v>23</v>
      </c>
      <c r="B21" s="72" t="s">
        <v>242</v>
      </c>
      <c r="C21" s="72">
        <v>154444186</v>
      </c>
      <c r="D21" s="72" t="s">
        <v>84</v>
      </c>
      <c r="E21" s="72" t="s">
        <v>9</v>
      </c>
      <c r="F21" s="72">
        <v>3897</v>
      </c>
      <c r="G21" s="72">
        <v>0.156916</v>
      </c>
      <c r="H21" s="72">
        <v>42.645099999999999</v>
      </c>
      <c r="I21" s="72">
        <v>10.8324</v>
      </c>
      <c r="J21" s="72">
        <v>8.2567900000000006E-5</v>
      </c>
      <c r="K21" s="72">
        <v>0.363431</v>
      </c>
      <c r="L21" s="72">
        <v>9.2632199999999998E-2</v>
      </c>
      <c r="M21" s="72">
        <v>8.7316299999999996E-5</v>
      </c>
      <c r="N21" s="72">
        <v>1</v>
      </c>
    </row>
    <row r="24" spans="1:14" x14ac:dyDescent="0.2">
      <c r="A24" t="s">
        <v>296</v>
      </c>
    </row>
    <row r="25" spans="1:14" x14ac:dyDescent="0.2">
      <c r="A25" s="67" t="s">
        <v>191</v>
      </c>
      <c r="B25" s="68"/>
      <c r="C25" s="68"/>
      <c r="D25" s="68"/>
      <c r="E25" s="68"/>
      <c r="F25" s="69"/>
    </row>
    <row r="26" spans="1:14" x14ac:dyDescent="0.2">
      <c r="A26" s="59" t="s">
        <v>68</v>
      </c>
      <c r="B26" s="60" t="s">
        <v>2</v>
      </c>
      <c r="C26" s="60" t="s">
        <v>3</v>
      </c>
      <c r="D26" s="60" t="s">
        <v>4</v>
      </c>
      <c r="E26" s="60" t="s">
        <v>189</v>
      </c>
      <c r="F26" s="60" t="s">
        <v>157</v>
      </c>
    </row>
    <row r="27" spans="1:14" x14ac:dyDescent="0.2">
      <c r="A27" s="61">
        <v>13</v>
      </c>
      <c r="B27" s="62" t="s">
        <v>56</v>
      </c>
      <c r="C27" s="62">
        <v>4.5431300000000001E-2</v>
      </c>
      <c r="D27" s="62">
        <v>0.86767300000000003</v>
      </c>
      <c r="E27" s="63">
        <v>5.8699999999999995E-7</v>
      </c>
      <c r="F27" s="62" t="s">
        <v>57</v>
      </c>
    </row>
    <row r="28" spans="1:14" x14ac:dyDescent="0.2">
      <c r="A28" s="64">
        <v>13</v>
      </c>
      <c r="B28" s="65" t="s">
        <v>159</v>
      </c>
      <c r="C28" s="65">
        <v>6.3364100000000007E-2</v>
      </c>
      <c r="D28" s="65">
        <v>0.61876799999999998</v>
      </c>
      <c r="E28" s="66">
        <v>1.1199999999999999E-5</v>
      </c>
      <c r="F28" s="62" t="s">
        <v>190</v>
      </c>
    </row>
    <row r="29" spans="1:14" x14ac:dyDescent="0.2">
      <c r="A29" s="64">
        <v>1</v>
      </c>
      <c r="B29" s="65" t="s">
        <v>162</v>
      </c>
      <c r="C29" s="65">
        <v>0.10213</v>
      </c>
      <c r="D29" s="65">
        <v>0.48027399999999998</v>
      </c>
      <c r="E29" s="66">
        <v>2.7900000000000001E-5</v>
      </c>
      <c r="F29" s="62" t="s">
        <v>243</v>
      </c>
    </row>
    <row r="30" spans="1:14" x14ac:dyDescent="0.2">
      <c r="A30" s="64">
        <v>2</v>
      </c>
      <c r="B30" s="65" t="s">
        <v>164</v>
      </c>
      <c r="C30" s="65">
        <v>0.119017</v>
      </c>
      <c r="D30" s="65">
        <v>-0.44398799999999999</v>
      </c>
      <c r="E30" s="66">
        <v>3.26E-5</v>
      </c>
      <c r="F30" s="62" t="s">
        <v>244</v>
      </c>
    </row>
    <row r="31" spans="1:14" x14ac:dyDescent="0.2">
      <c r="A31" s="64">
        <v>8</v>
      </c>
      <c r="B31" s="65" t="s">
        <v>165</v>
      </c>
      <c r="C31" s="65">
        <v>0.25415900000000002</v>
      </c>
      <c r="D31" s="65">
        <v>-0.309415</v>
      </c>
      <c r="E31" s="66">
        <v>3.9900000000000001E-5</v>
      </c>
      <c r="F31" s="62" t="s">
        <v>245</v>
      </c>
    </row>
    <row r="32" spans="1:14" x14ac:dyDescent="0.2">
      <c r="A32" s="64">
        <v>22</v>
      </c>
      <c r="B32" s="65" t="s">
        <v>234</v>
      </c>
      <c r="C32" s="65">
        <v>0.22107399999999999</v>
      </c>
      <c r="D32" s="65">
        <v>0.33797100000000002</v>
      </c>
      <c r="E32" s="66">
        <v>4.6100000000000002E-5</v>
      </c>
      <c r="F32" s="62" t="s">
        <v>246</v>
      </c>
    </row>
    <row r="33" spans="1:6" x14ac:dyDescent="0.2">
      <c r="A33" s="64">
        <v>19</v>
      </c>
      <c r="B33" s="65" t="s">
        <v>200</v>
      </c>
      <c r="C33" s="65">
        <v>0.73374300000000003</v>
      </c>
      <c r="D33" s="65">
        <v>-0.31908999999999998</v>
      </c>
      <c r="E33" s="66">
        <v>4.7800000000000003E-5</v>
      </c>
      <c r="F33" s="62" t="s">
        <v>247</v>
      </c>
    </row>
    <row r="34" spans="1:6" x14ac:dyDescent="0.2">
      <c r="A34" s="64">
        <v>17</v>
      </c>
      <c r="B34" s="65" t="s">
        <v>235</v>
      </c>
      <c r="C34" s="65">
        <v>0.393928</v>
      </c>
      <c r="D34" s="65">
        <v>-0.28612300000000002</v>
      </c>
      <c r="E34" s="66">
        <v>4.8300000000000002E-5</v>
      </c>
      <c r="F34" s="62" t="s">
        <v>248</v>
      </c>
    </row>
    <row r="35" spans="1:6" x14ac:dyDescent="0.2">
      <c r="A35" s="64">
        <v>16</v>
      </c>
      <c r="B35" s="65" t="s">
        <v>236</v>
      </c>
      <c r="C35" s="65">
        <v>0.50102400000000002</v>
      </c>
      <c r="D35" s="65">
        <v>0.27298699999999998</v>
      </c>
      <c r="E35" s="66">
        <v>5.1199999999999998E-5</v>
      </c>
      <c r="F35" s="62" t="s">
        <v>249</v>
      </c>
    </row>
    <row r="36" spans="1:6" x14ac:dyDescent="0.2">
      <c r="A36" s="64">
        <v>21</v>
      </c>
      <c r="B36" s="65" t="s">
        <v>237</v>
      </c>
      <c r="C36" s="65">
        <v>0.86973500000000004</v>
      </c>
      <c r="D36" s="65">
        <v>-0.38949699999999998</v>
      </c>
      <c r="E36" s="66">
        <v>5.3399999999999997E-5</v>
      </c>
      <c r="F36" s="62" t="s">
        <v>250</v>
      </c>
    </row>
  </sheetData>
  <mergeCells count="2">
    <mergeCell ref="A25:F25"/>
    <mergeCell ref="R1:W13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0E94C-BEBD-2B44-9052-BC554FEADF40}">
  <dimension ref="A1:N43"/>
  <sheetViews>
    <sheetView showGridLines="0" zoomScale="85" zoomScaleNormal="85" workbookViewId="0">
      <selection activeCell="F40" sqref="F40"/>
    </sheetView>
  </sheetViews>
  <sheetFormatPr baseColWidth="10" defaultRowHeight="16" x14ac:dyDescent="0.2"/>
  <cols>
    <col min="2" max="2" width="18.1640625" customWidth="1"/>
    <col min="3" max="3" width="15.6640625" customWidth="1"/>
    <col min="4" max="6" width="10.83203125" customWidth="1"/>
    <col min="8" max="10" width="10.83203125" customWidth="1"/>
    <col min="12" max="12" width="10.83203125" customWidth="1"/>
    <col min="14" max="14" width="10.83203125" customWidth="1"/>
    <col min="17" max="17" width="20.33203125" customWidth="1"/>
  </cols>
  <sheetData>
    <row r="1" spans="1:14" x14ac:dyDescent="0.2">
      <c r="A1" s="71" t="s">
        <v>68</v>
      </c>
      <c r="B1" s="71" t="s">
        <v>2</v>
      </c>
      <c r="C1" s="71" t="s">
        <v>69</v>
      </c>
      <c r="D1" s="71" t="s">
        <v>70</v>
      </c>
      <c r="E1" s="71" t="s">
        <v>71</v>
      </c>
      <c r="F1" s="71" t="s">
        <v>72</v>
      </c>
      <c r="G1" s="71" t="s">
        <v>3</v>
      </c>
      <c r="H1" s="71" t="s">
        <v>9</v>
      </c>
      <c r="I1" s="71" t="s">
        <v>73</v>
      </c>
      <c r="J1" s="71" t="s">
        <v>74</v>
      </c>
      <c r="K1" s="71" t="s">
        <v>4</v>
      </c>
      <c r="L1" s="71" t="s">
        <v>75</v>
      </c>
      <c r="M1" s="71" t="s">
        <v>5</v>
      </c>
      <c r="N1" s="71" t="s">
        <v>158</v>
      </c>
    </row>
    <row r="2" spans="1:14" x14ac:dyDescent="0.2">
      <c r="A2" s="72">
        <v>4</v>
      </c>
      <c r="B2" s="72" t="s">
        <v>7</v>
      </c>
      <c r="C2" s="72">
        <v>26672139</v>
      </c>
      <c r="D2" s="72" t="s">
        <v>8</v>
      </c>
      <c r="E2" s="72" t="s">
        <v>9</v>
      </c>
      <c r="F2" s="72">
        <v>6635</v>
      </c>
      <c r="G2" s="72">
        <v>0.62290900000000005</v>
      </c>
      <c r="H2" s="72">
        <v>-229.13</v>
      </c>
      <c r="I2" s="72">
        <v>38.819899999999997</v>
      </c>
      <c r="J2" s="72">
        <v>3.5829499999999999E-9</v>
      </c>
      <c r="K2" s="72">
        <v>-0.15204500000000001</v>
      </c>
      <c r="L2" s="72">
        <v>2.5734699999999999E-2</v>
      </c>
      <c r="M2" s="72">
        <v>3.45922E-9</v>
      </c>
      <c r="N2" s="72">
        <v>1</v>
      </c>
    </row>
    <row r="3" spans="1:14" x14ac:dyDescent="0.2">
      <c r="A3" s="72">
        <v>4</v>
      </c>
      <c r="B3" s="72" t="s">
        <v>16</v>
      </c>
      <c r="C3" s="72">
        <v>26672165</v>
      </c>
      <c r="D3" s="72" t="s">
        <v>17</v>
      </c>
      <c r="E3" s="72" t="s">
        <v>8</v>
      </c>
      <c r="F3" s="72">
        <v>6722</v>
      </c>
      <c r="G3" s="72">
        <v>0.64489700000000005</v>
      </c>
      <c r="H3" s="72">
        <v>-223.756</v>
      </c>
      <c r="I3" s="72">
        <v>38.653100000000002</v>
      </c>
      <c r="J3" s="72">
        <v>7.0885199999999998E-9</v>
      </c>
      <c r="K3" s="72">
        <v>-0.14976300000000001</v>
      </c>
      <c r="L3" s="72">
        <v>2.5832299999999999E-2</v>
      </c>
      <c r="M3" s="72">
        <v>6.7303600000000003E-9</v>
      </c>
      <c r="N3" s="72">
        <v>1</v>
      </c>
    </row>
    <row r="4" spans="1:14" x14ac:dyDescent="0.2">
      <c r="A4" s="72">
        <v>8</v>
      </c>
      <c r="B4" s="72" t="s">
        <v>166</v>
      </c>
      <c r="C4" s="72">
        <v>74028948</v>
      </c>
      <c r="D4" s="72" t="s">
        <v>9</v>
      </c>
      <c r="E4" s="72" t="s">
        <v>84</v>
      </c>
      <c r="F4" s="72">
        <v>7318</v>
      </c>
      <c r="G4" s="72">
        <v>0.16206599999999999</v>
      </c>
      <c r="H4" s="72">
        <v>-100.85899999999999</v>
      </c>
      <c r="I4" s="72">
        <v>21.992799999999999</v>
      </c>
      <c r="J4" s="72">
        <v>4.5186799999999999E-6</v>
      </c>
      <c r="K4" s="72">
        <v>-0.20852100000000001</v>
      </c>
      <c r="L4" s="72">
        <v>4.4843599999999997E-2</v>
      </c>
      <c r="M4" s="72">
        <v>3.31974E-6</v>
      </c>
      <c r="N4" s="72">
        <v>1</v>
      </c>
    </row>
    <row r="5" spans="1:14" x14ac:dyDescent="0.2">
      <c r="A5" s="72">
        <v>20</v>
      </c>
      <c r="B5" s="72" t="s">
        <v>201</v>
      </c>
      <c r="C5" s="72">
        <v>290494</v>
      </c>
      <c r="D5" s="72" t="s">
        <v>167</v>
      </c>
      <c r="E5" s="72" t="s">
        <v>17</v>
      </c>
      <c r="F5" s="72">
        <v>7314</v>
      </c>
      <c r="G5" s="72">
        <v>0.64568000000000003</v>
      </c>
      <c r="H5" s="72">
        <v>131.298</v>
      </c>
      <c r="I5" s="72">
        <v>28.7972</v>
      </c>
      <c r="J5" s="72">
        <v>5.1298899999999999E-6</v>
      </c>
      <c r="K5" s="72">
        <v>0.158328</v>
      </c>
      <c r="L5" s="72">
        <v>3.4753699999999998E-2</v>
      </c>
      <c r="M5" s="72">
        <v>5.22063E-6</v>
      </c>
      <c r="N5" s="72">
        <v>1</v>
      </c>
    </row>
    <row r="6" spans="1:14" x14ac:dyDescent="0.2">
      <c r="A6" s="72">
        <v>2</v>
      </c>
      <c r="B6" s="72" t="s">
        <v>20</v>
      </c>
      <c r="C6" s="72">
        <v>112015789</v>
      </c>
      <c r="D6" s="72" t="s">
        <v>17</v>
      </c>
      <c r="E6" s="72" t="s">
        <v>8</v>
      </c>
      <c r="F6" s="72">
        <v>6802</v>
      </c>
      <c r="G6" s="72">
        <v>0.48309299999999999</v>
      </c>
      <c r="H6" s="72">
        <v>-153.69999999999999</v>
      </c>
      <c r="I6" s="72">
        <v>33.9542</v>
      </c>
      <c r="J6" s="72">
        <v>5.99122E-6</v>
      </c>
      <c r="K6" s="72">
        <v>-0.13331799999999999</v>
      </c>
      <c r="L6" s="72">
        <v>2.94875E-2</v>
      </c>
      <c r="M6" s="72">
        <v>6.1499600000000002E-6</v>
      </c>
      <c r="N6" s="72">
        <v>1</v>
      </c>
    </row>
    <row r="7" spans="1:14" x14ac:dyDescent="0.2">
      <c r="A7" s="72">
        <v>4</v>
      </c>
      <c r="B7" s="72" t="s">
        <v>168</v>
      </c>
      <c r="C7" s="72">
        <v>77883188</v>
      </c>
      <c r="D7" s="72" t="s">
        <v>9</v>
      </c>
      <c r="E7" s="72" t="s">
        <v>8</v>
      </c>
      <c r="F7" s="72">
        <v>6962</v>
      </c>
      <c r="G7" s="72">
        <v>8.0005699999999999E-2</v>
      </c>
      <c r="H7" s="72">
        <v>-71.9696</v>
      </c>
      <c r="I7" s="72">
        <v>16.332999999999998</v>
      </c>
      <c r="J7" s="72">
        <v>1.05113E-5</v>
      </c>
      <c r="K7" s="72">
        <v>-0.269783</v>
      </c>
      <c r="L7" s="72">
        <v>6.11651E-2</v>
      </c>
      <c r="M7" s="72">
        <v>1.0302099999999999E-5</v>
      </c>
      <c r="N7" s="72">
        <v>1</v>
      </c>
    </row>
    <row r="8" spans="1:14" x14ac:dyDescent="0.2">
      <c r="A8" s="72">
        <v>17</v>
      </c>
      <c r="B8" s="72" t="s">
        <v>169</v>
      </c>
      <c r="C8" s="72">
        <v>75851718</v>
      </c>
      <c r="D8" s="72" t="s">
        <v>8</v>
      </c>
      <c r="E8" s="72" t="s">
        <v>17</v>
      </c>
      <c r="F8" s="72">
        <v>7317</v>
      </c>
      <c r="G8" s="72">
        <v>0.16611999999999999</v>
      </c>
      <c r="H8" s="72">
        <v>95.600899999999996</v>
      </c>
      <c r="I8" s="72">
        <v>22.653600000000001</v>
      </c>
      <c r="J8" s="72">
        <v>2.44167E-5</v>
      </c>
      <c r="K8" s="72">
        <v>0.18629000000000001</v>
      </c>
      <c r="L8" s="72">
        <v>4.3384600000000002E-2</v>
      </c>
      <c r="M8" s="72">
        <v>1.75549E-5</v>
      </c>
      <c r="N8" s="72">
        <v>1</v>
      </c>
    </row>
    <row r="9" spans="1:14" x14ac:dyDescent="0.2">
      <c r="A9" s="72">
        <v>8</v>
      </c>
      <c r="B9" s="72" t="s">
        <v>165</v>
      </c>
      <c r="C9" s="72">
        <v>73981217</v>
      </c>
      <c r="D9" s="72" t="s">
        <v>17</v>
      </c>
      <c r="E9" s="72" t="s">
        <v>8</v>
      </c>
      <c r="F9" s="72">
        <v>7319</v>
      </c>
      <c r="G9" s="72">
        <v>0.25064900000000001</v>
      </c>
      <c r="H9" s="72">
        <v>-109.598</v>
      </c>
      <c r="I9" s="72">
        <v>26.2605</v>
      </c>
      <c r="J9" s="72">
        <v>2.9996299999999999E-5</v>
      </c>
      <c r="K9" s="72">
        <v>-0.15892700000000001</v>
      </c>
      <c r="L9" s="72">
        <v>3.7017300000000003E-2</v>
      </c>
      <c r="M9" s="72">
        <v>1.7603200000000001E-5</v>
      </c>
      <c r="N9" s="72">
        <v>1</v>
      </c>
    </row>
    <row r="10" spans="1:14" x14ac:dyDescent="0.2">
      <c r="A10" s="72">
        <v>4</v>
      </c>
      <c r="B10" s="72" t="s">
        <v>170</v>
      </c>
      <c r="C10" s="72">
        <v>77883189</v>
      </c>
      <c r="D10" s="72" t="s">
        <v>9</v>
      </c>
      <c r="E10" s="72" t="s">
        <v>8</v>
      </c>
      <c r="F10" s="72">
        <v>6988</v>
      </c>
      <c r="G10" s="72">
        <v>8.1640000000000004E-2</v>
      </c>
      <c r="H10" s="72">
        <v>-69.390900000000002</v>
      </c>
      <c r="I10" s="72">
        <v>16.474399999999999</v>
      </c>
      <c r="J10" s="72">
        <v>2.5305800000000001E-5</v>
      </c>
      <c r="K10" s="72">
        <v>-0.25567299999999998</v>
      </c>
      <c r="L10" s="72">
        <v>6.0635799999999997E-2</v>
      </c>
      <c r="M10" s="72">
        <v>2.48079E-5</v>
      </c>
      <c r="N10" s="72">
        <v>1</v>
      </c>
    </row>
    <row r="11" spans="1:14" x14ac:dyDescent="0.2">
      <c r="A11" s="72">
        <v>1</v>
      </c>
      <c r="B11" s="72" t="s">
        <v>171</v>
      </c>
      <c r="C11" s="72">
        <v>204828864</v>
      </c>
      <c r="D11" s="72" t="s">
        <v>84</v>
      </c>
      <c r="E11" s="72" t="s">
        <v>17</v>
      </c>
      <c r="F11" s="72">
        <v>7129</v>
      </c>
      <c r="G11" s="72">
        <v>0.63122500000000004</v>
      </c>
      <c r="H11" s="72">
        <v>114.613</v>
      </c>
      <c r="I11" s="72">
        <v>30.1617</v>
      </c>
      <c r="J11" s="72">
        <v>1.4473099999999999E-4</v>
      </c>
      <c r="K11" s="72">
        <v>0.12598599999999999</v>
      </c>
      <c r="L11" s="72">
        <v>3.0191699999999998E-2</v>
      </c>
      <c r="M11" s="72">
        <v>3.0080300000000001E-5</v>
      </c>
      <c r="N11" s="72">
        <v>1</v>
      </c>
    </row>
    <row r="12" spans="1:14" x14ac:dyDescent="0.2">
      <c r="A12" s="72">
        <v>12</v>
      </c>
      <c r="B12" s="72" t="s">
        <v>43</v>
      </c>
      <c r="C12" s="72">
        <v>123410716</v>
      </c>
      <c r="D12" s="72" t="s">
        <v>9</v>
      </c>
      <c r="E12" s="72" t="s">
        <v>8</v>
      </c>
      <c r="F12" s="72">
        <v>6722</v>
      </c>
      <c r="G12" s="72">
        <v>0.111723</v>
      </c>
      <c r="H12" s="72">
        <v>-78.942599999999999</v>
      </c>
      <c r="I12" s="72">
        <v>18.970700000000001</v>
      </c>
      <c r="J12" s="72">
        <v>3.1645700000000001E-5</v>
      </c>
      <c r="K12" s="72">
        <v>-0.21935299999999999</v>
      </c>
      <c r="L12" s="72">
        <v>5.27568E-2</v>
      </c>
      <c r="M12" s="72">
        <v>3.2129599999999998E-5</v>
      </c>
      <c r="N12" s="72">
        <v>1</v>
      </c>
    </row>
    <row r="13" spans="1:14" x14ac:dyDescent="0.2">
      <c r="A13" s="72">
        <v>2</v>
      </c>
      <c r="B13" s="72" t="s">
        <v>229</v>
      </c>
      <c r="C13" s="72">
        <v>112028198</v>
      </c>
      <c r="D13" s="72" t="s">
        <v>84</v>
      </c>
      <c r="E13" s="72" t="s">
        <v>9</v>
      </c>
      <c r="F13" s="72">
        <v>7319</v>
      </c>
      <c r="G13" s="72">
        <v>0.13710900000000001</v>
      </c>
      <c r="H13" s="72">
        <v>-83.017399999999995</v>
      </c>
      <c r="I13" s="72">
        <v>21.0183</v>
      </c>
      <c r="J13" s="72">
        <v>7.8227300000000002E-5</v>
      </c>
      <c r="K13" s="72">
        <v>-0.18792</v>
      </c>
      <c r="L13" s="72">
        <v>4.5762900000000002E-2</v>
      </c>
      <c r="M13" s="72">
        <v>4.0188799999999997E-5</v>
      </c>
      <c r="N13" s="72">
        <v>1</v>
      </c>
    </row>
    <row r="14" spans="1:14" x14ac:dyDescent="0.2">
      <c r="A14" s="72">
        <v>17</v>
      </c>
      <c r="B14" s="72" t="s">
        <v>172</v>
      </c>
      <c r="C14" s="72">
        <v>75848667</v>
      </c>
      <c r="D14" s="72" t="s">
        <v>17</v>
      </c>
      <c r="E14" s="72" t="s">
        <v>8</v>
      </c>
      <c r="F14" s="72">
        <v>7319</v>
      </c>
      <c r="G14" s="72">
        <v>0.24019699999999999</v>
      </c>
      <c r="H14" s="72">
        <v>105.45</v>
      </c>
      <c r="I14" s="72">
        <v>26.2166</v>
      </c>
      <c r="J14" s="72">
        <v>5.76382E-5</v>
      </c>
      <c r="K14" s="72">
        <v>0.15342500000000001</v>
      </c>
      <c r="L14" s="72">
        <v>3.7428200000000002E-2</v>
      </c>
      <c r="M14" s="72">
        <v>4.1462299999999998E-5</v>
      </c>
      <c r="N14" s="72">
        <v>1</v>
      </c>
    </row>
    <row r="15" spans="1:14" x14ac:dyDescent="0.2">
      <c r="A15" s="72">
        <v>12</v>
      </c>
      <c r="B15" s="72" t="s">
        <v>40</v>
      </c>
      <c r="C15" s="72">
        <v>25516165</v>
      </c>
      <c r="D15" s="72" t="s">
        <v>8</v>
      </c>
      <c r="E15" s="72" t="s">
        <v>17</v>
      </c>
      <c r="F15" s="72">
        <v>6872</v>
      </c>
      <c r="G15" s="72">
        <v>0.55762500000000004</v>
      </c>
      <c r="H15" s="72">
        <v>-147.54900000000001</v>
      </c>
      <c r="I15" s="72">
        <v>36.033299999999997</v>
      </c>
      <c r="J15" s="72">
        <v>4.2252400000000002E-5</v>
      </c>
      <c r="K15" s="72">
        <v>-0.113639</v>
      </c>
      <c r="L15" s="72">
        <v>2.7765999999999999E-2</v>
      </c>
      <c r="M15" s="72">
        <v>4.2629400000000002E-5</v>
      </c>
      <c r="N15" s="72">
        <v>1</v>
      </c>
    </row>
    <row r="16" spans="1:14" x14ac:dyDescent="0.2">
      <c r="A16" s="73">
        <v>12</v>
      </c>
      <c r="B16" s="73" t="s">
        <v>30</v>
      </c>
      <c r="C16" s="73">
        <v>25516252</v>
      </c>
      <c r="D16" s="73" t="s">
        <v>8</v>
      </c>
      <c r="E16" s="73" t="s">
        <v>17</v>
      </c>
      <c r="F16" s="73">
        <v>6865</v>
      </c>
      <c r="G16" s="73">
        <v>0.51150799999999996</v>
      </c>
      <c r="H16" s="73">
        <v>-146.04900000000001</v>
      </c>
      <c r="I16" s="73">
        <v>35.847900000000003</v>
      </c>
      <c r="J16" s="73">
        <v>4.6186999999999997E-5</v>
      </c>
      <c r="K16" s="73">
        <v>-0.11365</v>
      </c>
      <c r="L16" s="73">
        <v>2.7906899999999998E-2</v>
      </c>
      <c r="M16" s="73">
        <v>4.6513400000000001E-5</v>
      </c>
      <c r="N16" s="73">
        <v>1</v>
      </c>
    </row>
    <row r="17" spans="1:14" x14ac:dyDescent="0.2">
      <c r="A17" s="72">
        <v>12</v>
      </c>
      <c r="B17" s="72" t="s">
        <v>42</v>
      </c>
      <c r="C17" s="72">
        <v>25516226</v>
      </c>
      <c r="D17" s="72" t="s">
        <v>17</v>
      </c>
      <c r="E17" s="72" t="s">
        <v>84</v>
      </c>
      <c r="F17" s="72">
        <v>6820</v>
      </c>
      <c r="G17" s="72">
        <v>0.55498499999999995</v>
      </c>
      <c r="H17" s="72">
        <v>-146.10499999999999</v>
      </c>
      <c r="I17" s="72">
        <v>36.450699999999998</v>
      </c>
      <c r="J17" s="72">
        <v>6.1162100000000002E-5</v>
      </c>
      <c r="K17" s="72">
        <v>-0.10996499999999999</v>
      </c>
      <c r="L17" s="72">
        <v>2.7445799999999999E-2</v>
      </c>
      <c r="M17" s="72">
        <v>6.1598899999999997E-5</v>
      </c>
      <c r="N17" s="72">
        <v>1</v>
      </c>
    </row>
    <row r="18" spans="1:14" x14ac:dyDescent="0.2">
      <c r="A18" s="72">
        <v>7</v>
      </c>
      <c r="B18" s="72" t="s">
        <v>45</v>
      </c>
      <c r="C18" s="72">
        <v>77406075</v>
      </c>
      <c r="D18" s="72" t="s">
        <v>84</v>
      </c>
      <c r="E18" s="72" t="s">
        <v>9</v>
      </c>
      <c r="F18" s="72">
        <v>6806</v>
      </c>
      <c r="G18" s="72">
        <v>0.78136899999999998</v>
      </c>
      <c r="H18" s="72">
        <v>-127.871</v>
      </c>
      <c r="I18" s="72">
        <v>32.133299999999998</v>
      </c>
      <c r="J18" s="72">
        <v>6.9092100000000002E-5</v>
      </c>
      <c r="K18" s="72">
        <v>-0.12384000000000001</v>
      </c>
      <c r="L18" s="72">
        <v>3.11542E-2</v>
      </c>
      <c r="M18" s="72">
        <v>7.0359900000000004E-5</v>
      </c>
      <c r="N18" s="72">
        <v>1</v>
      </c>
    </row>
    <row r="19" spans="1:14" x14ac:dyDescent="0.2">
      <c r="A19" s="72">
        <v>17</v>
      </c>
      <c r="B19" s="72" t="s">
        <v>230</v>
      </c>
      <c r="C19" s="72">
        <v>11961793</v>
      </c>
      <c r="D19" s="72" t="s">
        <v>8</v>
      </c>
      <c r="E19" s="72" t="s">
        <v>17</v>
      </c>
      <c r="F19" s="72">
        <v>7179</v>
      </c>
      <c r="G19" s="72">
        <v>0.30610100000000001</v>
      </c>
      <c r="H19" s="72">
        <v>110.583</v>
      </c>
      <c r="I19" s="72">
        <v>27.920200000000001</v>
      </c>
      <c r="J19" s="72">
        <v>7.4731600000000001E-5</v>
      </c>
      <c r="K19" s="72">
        <v>0.14185800000000001</v>
      </c>
      <c r="L19" s="72">
        <v>3.5732100000000003E-2</v>
      </c>
      <c r="M19" s="72">
        <v>7.1862199999999998E-5</v>
      </c>
      <c r="N19" s="72">
        <v>1</v>
      </c>
    </row>
    <row r="20" spans="1:14" x14ac:dyDescent="0.2">
      <c r="A20" s="72">
        <v>11</v>
      </c>
      <c r="B20" s="72" t="s">
        <v>179</v>
      </c>
      <c r="C20" s="72">
        <v>236337</v>
      </c>
      <c r="D20" s="72" t="s">
        <v>17</v>
      </c>
      <c r="E20" s="72" t="s">
        <v>84</v>
      </c>
      <c r="F20" s="72">
        <v>7319</v>
      </c>
      <c r="G20" s="72">
        <v>1.1955199999999999E-2</v>
      </c>
      <c r="H20" s="72">
        <v>25.797499999999999</v>
      </c>
      <c r="I20" s="72">
        <v>6.57057</v>
      </c>
      <c r="J20" s="72">
        <v>8.6291000000000004E-5</v>
      </c>
      <c r="K20" s="72">
        <v>0.59754700000000005</v>
      </c>
      <c r="L20" s="72">
        <v>0.15123</v>
      </c>
      <c r="M20" s="72">
        <v>7.7745399999999996E-5</v>
      </c>
      <c r="N20" s="72">
        <v>1</v>
      </c>
    </row>
    <row r="21" spans="1:14" x14ac:dyDescent="0.2">
      <c r="A21" s="72">
        <v>9</v>
      </c>
      <c r="B21" s="72" t="s">
        <v>231</v>
      </c>
      <c r="C21" s="72">
        <v>76096188</v>
      </c>
      <c r="D21" s="72" t="s">
        <v>232</v>
      </c>
      <c r="E21" s="72" t="s">
        <v>9</v>
      </c>
      <c r="F21" s="72">
        <v>7180</v>
      </c>
      <c r="G21" s="72">
        <v>0.186838</v>
      </c>
      <c r="H21" s="72">
        <v>-90.197000000000003</v>
      </c>
      <c r="I21" s="72">
        <v>22.8309</v>
      </c>
      <c r="J21" s="72">
        <v>7.7935200000000006E-5</v>
      </c>
      <c r="K21" s="72">
        <v>-0.173041</v>
      </c>
      <c r="L21" s="72">
        <v>4.3832599999999999E-2</v>
      </c>
      <c r="M21" s="72">
        <v>7.8886000000000003E-5</v>
      </c>
      <c r="N21" s="72">
        <v>1</v>
      </c>
    </row>
    <row r="23" spans="1:14" x14ac:dyDescent="0.2">
      <c r="A23" t="s">
        <v>296</v>
      </c>
    </row>
    <row r="24" spans="1:14" x14ac:dyDescent="0.2">
      <c r="A24" s="67" t="s">
        <v>251</v>
      </c>
      <c r="B24" s="68"/>
      <c r="C24" s="68"/>
      <c r="D24" s="68"/>
      <c r="E24" s="68"/>
      <c r="F24" s="69"/>
    </row>
    <row r="25" spans="1:14" x14ac:dyDescent="0.2">
      <c r="A25" s="59" t="s">
        <v>68</v>
      </c>
      <c r="B25" s="60" t="s">
        <v>2</v>
      </c>
      <c r="C25" s="60" t="s">
        <v>3</v>
      </c>
      <c r="D25" s="60" t="s">
        <v>4</v>
      </c>
      <c r="E25" s="60" t="s">
        <v>189</v>
      </c>
      <c r="F25" s="60" t="s">
        <v>157</v>
      </c>
    </row>
    <row r="26" spans="1:14" x14ac:dyDescent="0.2">
      <c r="A26" s="61">
        <v>4</v>
      </c>
      <c r="B26" s="62" t="s">
        <v>7</v>
      </c>
      <c r="C26" s="62">
        <v>0.62290900000000005</v>
      </c>
      <c r="D26" s="62">
        <v>-0.15204500000000001</v>
      </c>
      <c r="E26" s="63">
        <v>3.45922E-9</v>
      </c>
      <c r="F26" s="62" t="s">
        <v>14</v>
      </c>
    </row>
    <row r="27" spans="1:14" x14ac:dyDescent="0.2">
      <c r="A27" s="64">
        <v>8</v>
      </c>
      <c r="B27" s="65" t="s">
        <v>166</v>
      </c>
      <c r="C27" s="65">
        <v>0.16206599999999999</v>
      </c>
      <c r="D27" s="65">
        <v>-0.20852100000000001</v>
      </c>
      <c r="E27" s="66">
        <v>3.31974E-6</v>
      </c>
      <c r="F27" s="62" t="s">
        <v>252</v>
      </c>
    </row>
    <row r="28" spans="1:14" x14ac:dyDescent="0.2">
      <c r="A28" s="64">
        <v>20</v>
      </c>
      <c r="B28" s="65" t="s">
        <v>201</v>
      </c>
      <c r="C28" s="65">
        <v>0.64568000000000003</v>
      </c>
      <c r="D28" s="65">
        <v>0.158328</v>
      </c>
      <c r="E28" s="66">
        <v>5.22063E-6</v>
      </c>
      <c r="F28" s="62" t="s">
        <v>253</v>
      </c>
    </row>
    <row r="29" spans="1:14" x14ac:dyDescent="0.2">
      <c r="A29" s="64">
        <v>2</v>
      </c>
      <c r="B29" s="65" t="s">
        <v>20</v>
      </c>
      <c r="C29" s="65">
        <v>0.48309299999999999</v>
      </c>
      <c r="D29" s="65">
        <v>-0.13331799999999999</v>
      </c>
      <c r="E29" s="66">
        <v>6.1499600000000002E-6</v>
      </c>
      <c r="F29" s="62" t="s">
        <v>22</v>
      </c>
    </row>
    <row r="30" spans="1:14" x14ac:dyDescent="0.2">
      <c r="A30" s="64">
        <v>4</v>
      </c>
      <c r="B30" s="65" t="s">
        <v>168</v>
      </c>
      <c r="C30" s="65">
        <v>8.0005699999999999E-2</v>
      </c>
      <c r="D30" s="65">
        <v>-0.269783</v>
      </c>
      <c r="E30" s="66">
        <v>1.0302099999999999E-5</v>
      </c>
      <c r="F30" s="62" t="s">
        <v>254</v>
      </c>
    </row>
    <row r="31" spans="1:14" x14ac:dyDescent="0.2">
      <c r="A31" s="64">
        <v>17</v>
      </c>
      <c r="B31" s="65" t="s">
        <v>169</v>
      </c>
      <c r="C31" s="65">
        <v>0.16611999999999999</v>
      </c>
      <c r="D31" s="65">
        <v>0.18629000000000001</v>
      </c>
      <c r="E31" s="66">
        <v>1.75549E-5</v>
      </c>
      <c r="F31" s="62" t="s">
        <v>255</v>
      </c>
    </row>
    <row r="32" spans="1:14" x14ac:dyDescent="0.2">
      <c r="A32" s="64">
        <v>8</v>
      </c>
      <c r="B32" s="65" t="s">
        <v>165</v>
      </c>
      <c r="C32" s="65">
        <v>0.25064900000000001</v>
      </c>
      <c r="D32" s="65">
        <v>-0.15892700000000001</v>
      </c>
      <c r="E32" s="66">
        <v>1.7603200000000001E-5</v>
      </c>
      <c r="F32" s="62" t="s">
        <v>245</v>
      </c>
    </row>
    <row r="33" spans="1:6" x14ac:dyDescent="0.2">
      <c r="A33" s="64">
        <v>4</v>
      </c>
      <c r="B33" s="65" t="s">
        <v>170</v>
      </c>
      <c r="C33" s="65">
        <v>8.1640000000000004E-2</v>
      </c>
      <c r="D33" s="65">
        <v>-0.25567299999999998</v>
      </c>
      <c r="E33" s="66">
        <v>2.48079E-5</v>
      </c>
      <c r="F33" s="62" t="s">
        <v>256</v>
      </c>
    </row>
    <row r="34" spans="1:6" x14ac:dyDescent="0.2">
      <c r="A34" s="64">
        <v>1</v>
      </c>
      <c r="B34" s="65" t="s">
        <v>171</v>
      </c>
      <c r="C34" s="65">
        <v>0.63122500000000004</v>
      </c>
      <c r="D34" s="65">
        <v>0.12598599999999999</v>
      </c>
      <c r="E34" s="66">
        <v>3.0080300000000001E-5</v>
      </c>
      <c r="F34" s="62" t="s">
        <v>257</v>
      </c>
    </row>
    <row r="35" spans="1:6" x14ac:dyDescent="0.2">
      <c r="A35" s="64">
        <v>12</v>
      </c>
      <c r="B35" s="65" t="s">
        <v>43</v>
      </c>
      <c r="C35" s="65">
        <v>0.111723</v>
      </c>
      <c r="D35" s="65">
        <v>-0.21935299999999999</v>
      </c>
      <c r="E35" s="66">
        <v>3.2129599999999998E-5</v>
      </c>
      <c r="F35" s="62" t="s">
        <v>258</v>
      </c>
    </row>
    <row r="36" spans="1:6" x14ac:dyDescent="0.2">
      <c r="B36" s="18"/>
    </row>
    <row r="37" spans="1:6" x14ac:dyDescent="0.2">
      <c r="B37" s="18"/>
    </row>
    <row r="38" spans="1:6" x14ac:dyDescent="0.2">
      <c r="B38" s="18"/>
    </row>
    <row r="39" spans="1:6" x14ac:dyDescent="0.2">
      <c r="B39" s="18"/>
    </row>
    <row r="40" spans="1:6" x14ac:dyDescent="0.2">
      <c r="B40" s="18"/>
    </row>
    <row r="41" spans="1:6" x14ac:dyDescent="0.2">
      <c r="B41" s="18"/>
    </row>
    <row r="42" spans="1:6" x14ac:dyDescent="0.2">
      <c r="B42" s="18"/>
    </row>
    <row r="43" spans="1:6" x14ac:dyDescent="0.2">
      <c r="B43" s="18"/>
    </row>
  </sheetData>
  <mergeCells count="1">
    <mergeCell ref="A24:F24"/>
  </mergeCell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9C66A-D0FB-0343-B194-E85779C655D1}">
  <dimension ref="A1:T43"/>
  <sheetViews>
    <sheetView showGridLines="0" zoomScale="88" workbookViewId="0">
      <selection activeCell="I36" sqref="I36"/>
    </sheetView>
  </sheetViews>
  <sheetFormatPr baseColWidth="10" defaultRowHeight="16" x14ac:dyDescent="0.2"/>
  <cols>
    <col min="2" max="2" width="20" customWidth="1"/>
    <col min="3" max="3" width="13.5" customWidth="1"/>
    <col min="4" max="6" width="10.83203125" customWidth="1"/>
    <col min="8" max="10" width="10.83203125" customWidth="1"/>
    <col min="12" max="12" width="10.83203125" customWidth="1"/>
    <col min="14" max="14" width="15" customWidth="1"/>
  </cols>
  <sheetData>
    <row r="1" spans="1:20" x14ac:dyDescent="0.2">
      <c r="A1" s="71" t="s">
        <v>68</v>
      </c>
      <c r="B1" s="71" t="s">
        <v>2</v>
      </c>
      <c r="C1" s="71" t="s">
        <v>69</v>
      </c>
      <c r="D1" s="71" t="s">
        <v>70</v>
      </c>
      <c r="E1" s="71" t="s">
        <v>71</v>
      </c>
      <c r="F1" s="71" t="s">
        <v>72</v>
      </c>
      <c r="G1" s="71" t="s">
        <v>3</v>
      </c>
      <c r="H1" s="71" t="s">
        <v>9</v>
      </c>
      <c r="I1" s="71" t="s">
        <v>73</v>
      </c>
      <c r="J1" s="71" t="s">
        <v>74</v>
      </c>
      <c r="K1" s="71" t="s">
        <v>4</v>
      </c>
      <c r="L1" s="71" t="s">
        <v>75</v>
      </c>
      <c r="M1" s="71" t="s">
        <v>5</v>
      </c>
      <c r="N1" s="71" t="s">
        <v>158</v>
      </c>
    </row>
    <row r="2" spans="1:20" x14ac:dyDescent="0.2">
      <c r="A2" s="72">
        <v>4</v>
      </c>
      <c r="B2" s="72" t="s">
        <v>7</v>
      </c>
      <c r="C2" s="72">
        <v>26672139</v>
      </c>
      <c r="D2" s="72" t="s">
        <v>8</v>
      </c>
      <c r="E2" s="72" t="s">
        <v>9</v>
      </c>
      <c r="F2" s="72">
        <v>4905</v>
      </c>
      <c r="G2" s="72">
        <v>0.63394499999999998</v>
      </c>
      <c r="H2" s="72">
        <v>-161.983</v>
      </c>
      <c r="I2" s="72">
        <v>32.119300000000003</v>
      </c>
      <c r="J2" s="72">
        <v>4.57881E-7</v>
      </c>
      <c r="K2" s="72">
        <v>-0.15701399999999999</v>
      </c>
      <c r="L2" s="72">
        <v>3.1029999999999999E-2</v>
      </c>
      <c r="M2" s="72">
        <v>4.1911600000000001E-7</v>
      </c>
      <c r="N2" s="72">
        <v>1</v>
      </c>
    </row>
    <row r="3" spans="1:20" x14ac:dyDescent="0.2">
      <c r="A3" s="72">
        <v>4</v>
      </c>
      <c r="B3" s="72" t="s">
        <v>16</v>
      </c>
      <c r="C3" s="72">
        <v>26672165</v>
      </c>
      <c r="D3" s="72" t="s">
        <v>17</v>
      </c>
      <c r="E3" s="72" t="s">
        <v>8</v>
      </c>
      <c r="F3" s="72">
        <v>4958</v>
      </c>
      <c r="G3" s="72">
        <v>0.65641400000000005</v>
      </c>
      <c r="H3" s="72">
        <v>-154.23500000000001</v>
      </c>
      <c r="I3" s="72">
        <v>31.9041</v>
      </c>
      <c r="J3" s="72">
        <v>1.33581E-6</v>
      </c>
      <c r="K3" s="72">
        <v>-0.151528</v>
      </c>
      <c r="L3" s="72">
        <v>3.1223399999999998E-2</v>
      </c>
      <c r="M3" s="72">
        <v>1.21599E-6</v>
      </c>
      <c r="N3" s="72">
        <v>1</v>
      </c>
      <c r="O3" s="18"/>
      <c r="P3" s="18"/>
      <c r="Q3" s="18"/>
      <c r="R3" s="18"/>
      <c r="S3" s="18"/>
      <c r="T3" s="19"/>
    </row>
    <row r="4" spans="1:20" x14ac:dyDescent="0.2">
      <c r="A4" s="72">
        <v>23</v>
      </c>
      <c r="B4" s="72" t="s">
        <v>173</v>
      </c>
      <c r="C4" s="72">
        <v>15270297</v>
      </c>
      <c r="D4" s="72" t="s">
        <v>8</v>
      </c>
      <c r="E4" s="72" t="s">
        <v>17</v>
      </c>
      <c r="F4" s="72">
        <v>5410</v>
      </c>
      <c r="G4" s="72">
        <v>5.6099799999999998E-2</v>
      </c>
      <c r="H4" s="72">
        <v>53.040599999999998</v>
      </c>
      <c r="I4" s="72">
        <v>11.5745</v>
      </c>
      <c r="J4" s="72">
        <v>4.5938799999999996E-6</v>
      </c>
      <c r="K4" s="72">
        <v>0.39591500000000002</v>
      </c>
      <c r="L4" s="72">
        <v>8.6099899999999993E-2</v>
      </c>
      <c r="M4" s="72">
        <v>4.2590500000000003E-6</v>
      </c>
      <c r="N4" s="72">
        <v>1</v>
      </c>
      <c r="O4" s="18"/>
      <c r="P4" s="18"/>
      <c r="Q4" s="18"/>
      <c r="R4" s="18"/>
      <c r="S4" s="18"/>
      <c r="T4" s="19"/>
    </row>
    <row r="5" spans="1:20" x14ac:dyDescent="0.2">
      <c r="A5" s="72">
        <v>8</v>
      </c>
      <c r="B5" s="72" t="s">
        <v>174</v>
      </c>
      <c r="C5" s="72">
        <v>68521960</v>
      </c>
      <c r="D5" s="72" t="s">
        <v>84</v>
      </c>
      <c r="E5" s="72" t="s">
        <v>9</v>
      </c>
      <c r="F5" s="72">
        <v>5410</v>
      </c>
      <c r="G5" s="72">
        <v>8.3179299999999998E-2</v>
      </c>
      <c r="H5" s="72">
        <v>58.668599999999998</v>
      </c>
      <c r="I5" s="72">
        <v>13.7849</v>
      </c>
      <c r="J5" s="72">
        <v>2.0810099999999999E-5</v>
      </c>
      <c r="K5" s="72">
        <v>0.30874600000000002</v>
      </c>
      <c r="L5" s="72">
        <v>7.1621000000000004E-2</v>
      </c>
      <c r="M5" s="72">
        <v>1.6264900000000001E-5</v>
      </c>
      <c r="N5" s="72">
        <v>1</v>
      </c>
      <c r="O5" s="18"/>
      <c r="P5" s="18"/>
      <c r="Q5" s="18"/>
      <c r="R5" s="18"/>
      <c r="S5" s="18"/>
      <c r="T5" s="19"/>
    </row>
    <row r="6" spans="1:20" x14ac:dyDescent="0.2">
      <c r="A6" s="72">
        <v>2</v>
      </c>
      <c r="B6" s="72" t="s">
        <v>175</v>
      </c>
      <c r="C6" s="72">
        <v>99404482</v>
      </c>
      <c r="D6" s="72" t="s">
        <v>9</v>
      </c>
      <c r="E6" s="72" t="s">
        <v>84</v>
      </c>
      <c r="F6" s="72">
        <v>5410</v>
      </c>
      <c r="G6" s="72">
        <v>0.30110900000000002</v>
      </c>
      <c r="H6" s="72">
        <v>96.052199999999999</v>
      </c>
      <c r="I6" s="72">
        <v>22.989000000000001</v>
      </c>
      <c r="J6" s="72">
        <v>2.9384099999999999E-5</v>
      </c>
      <c r="K6" s="72">
        <v>0.18174799999999999</v>
      </c>
      <c r="L6" s="72">
        <v>4.2447499999999999E-2</v>
      </c>
      <c r="M6" s="72">
        <v>1.8547E-5</v>
      </c>
      <c r="N6" s="72">
        <v>1</v>
      </c>
      <c r="O6" s="18"/>
      <c r="P6" s="18"/>
      <c r="Q6" s="18"/>
      <c r="R6" s="18"/>
      <c r="S6" s="18"/>
      <c r="T6" s="19"/>
    </row>
    <row r="7" spans="1:20" x14ac:dyDescent="0.2">
      <c r="A7" s="72">
        <v>2</v>
      </c>
      <c r="B7" s="72" t="s">
        <v>20</v>
      </c>
      <c r="C7" s="72">
        <v>112015789</v>
      </c>
      <c r="D7" s="72" t="s">
        <v>17</v>
      </c>
      <c r="E7" s="72" t="s">
        <v>8</v>
      </c>
      <c r="F7" s="72">
        <v>5042</v>
      </c>
      <c r="G7" s="72">
        <v>0.48859599999999997</v>
      </c>
      <c r="H7" s="72">
        <v>-118.245</v>
      </c>
      <c r="I7" s="72">
        <v>28.229500000000002</v>
      </c>
      <c r="J7" s="72">
        <v>2.8056200000000001E-5</v>
      </c>
      <c r="K7" s="72">
        <v>-0.14838000000000001</v>
      </c>
      <c r="L7" s="72">
        <v>3.5425699999999997E-2</v>
      </c>
      <c r="M7" s="72">
        <v>2.8081599999999999E-5</v>
      </c>
      <c r="N7" s="72">
        <v>1</v>
      </c>
      <c r="O7" s="18"/>
      <c r="P7" s="18"/>
      <c r="Q7" s="18"/>
      <c r="R7" s="18"/>
      <c r="S7" s="18"/>
      <c r="T7" s="19"/>
    </row>
    <row r="8" spans="1:20" x14ac:dyDescent="0.2">
      <c r="A8" s="72">
        <v>1</v>
      </c>
      <c r="B8" s="72" t="s">
        <v>176</v>
      </c>
      <c r="C8" s="72">
        <v>220102036</v>
      </c>
      <c r="D8" s="72" t="s">
        <v>8</v>
      </c>
      <c r="E8" s="72" t="s">
        <v>17</v>
      </c>
      <c r="F8" s="72">
        <v>5316</v>
      </c>
      <c r="G8" s="72">
        <v>0.53009799999999996</v>
      </c>
      <c r="H8" s="72">
        <v>103.37</v>
      </c>
      <c r="I8" s="72">
        <v>25.114000000000001</v>
      </c>
      <c r="J8" s="72">
        <v>3.8547699999999997E-5</v>
      </c>
      <c r="K8" s="72">
        <v>0.16389300000000001</v>
      </c>
      <c r="L8" s="72">
        <v>3.9482700000000003E-2</v>
      </c>
      <c r="M8" s="72">
        <v>3.31006E-5</v>
      </c>
      <c r="N8" s="72">
        <v>1</v>
      </c>
      <c r="O8" s="18"/>
      <c r="P8" s="18"/>
      <c r="Q8" s="18"/>
      <c r="R8" s="18"/>
      <c r="S8" s="18"/>
      <c r="T8" s="19"/>
    </row>
    <row r="9" spans="1:20" x14ac:dyDescent="0.2">
      <c r="A9" s="72">
        <v>9</v>
      </c>
      <c r="B9" s="72" t="s">
        <v>177</v>
      </c>
      <c r="C9" s="72">
        <v>133713149</v>
      </c>
      <c r="D9" s="72" t="s">
        <v>84</v>
      </c>
      <c r="E9" s="72" t="s">
        <v>17</v>
      </c>
      <c r="F9" s="72">
        <v>5409</v>
      </c>
      <c r="G9" s="72">
        <v>0.35477900000000001</v>
      </c>
      <c r="H9" s="72">
        <v>98.553399999999996</v>
      </c>
      <c r="I9" s="72">
        <v>23.9377</v>
      </c>
      <c r="J9" s="72">
        <v>3.8371100000000003E-5</v>
      </c>
      <c r="K9" s="72">
        <v>0.171991</v>
      </c>
      <c r="L9" s="72">
        <v>4.1711699999999997E-2</v>
      </c>
      <c r="M9" s="72">
        <v>3.7344E-5</v>
      </c>
      <c r="N9" s="72">
        <v>1</v>
      </c>
      <c r="O9" s="18"/>
      <c r="P9" s="18"/>
      <c r="Q9" s="18"/>
      <c r="R9" s="18"/>
      <c r="S9" s="18"/>
      <c r="T9" s="19"/>
    </row>
    <row r="10" spans="1:20" x14ac:dyDescent="0.2">
      <c r="A10" s="72">
        <v>9</v>
      </c>
      <c r="B10" s="72" t="s">
        <v>178</v>
      </c>
      <c r="C10" s="72">
        <v>128498584</v>
      </c>
      <c r="D10" s="72" t="s">
        <v>9</v>
      </c>
      <c r="E10" s="72" t="s">
        <v>84</v>
      </c>
      <c r="F10" s="72">
        <v>5410</v>
      </c>
      <c r="G10" s="72">
        <v>9.0295700000000007E-2</v>
      </c>
      <c r="H10" s="72">
        <v>59.133899999999997</v>
      </c>
      <c r="I10" s="72">
        <v>14.538600000000001</v>
      </c>
      <c r="J10" s="72">
        <v>4.7544099999999998E-5</v>
      </c>
      <c r="K10" s="72">
        <v>0.27976499999999999</v>
      </c>
      <c r="L10" s="72">
        <v>6.8321999999999994E-2</v>
      </c>
      <c r="M10" s="72">
        <v>4.2251900000000001E-5</v>
      </c>
      <c r="N10" s="72">
        <v>1</v>
      </c>
      <c r="O10" s="18"/>
      <c r="P10" s="18"/>
      <c r="Q10" s="18"/>
      <c r="R10" s="18"/>
      <c r="S10" s="18"/>
      <c r="T10" s="19"/>
    </row>
    <row r="11" spans="1:20" x14ac:dyDescent="0.2">
      <c r="A11" s="72">
        <v>7</v>
      </c>
      <c r="B11" s="72" t="s">
        <v>45</v>
      </c>
      <c r="C11" s="72">
        <v>77406075</v>
      </c>
      <c r="D11" s="72" t="s">
        <v>84</v>
      </c>
      <c r="E11" s="72" t="s">
        <v>9</v>
      </c>
      <c r="F11" s="72">
        <v>5034</v>
      </c>
      <c r="G11" s="72">
        <v>0.78386999999999996</v>
      </c>
      <c r="H11" s="72">
        <v>-108.9</v>
      </c>
      <c r="I11" s="72">
        <v>26.624500000000001</v>
      </c>
      <c r="J11" s="72">
        <v>4.3099400000000003E-5</v>
      </c>
      <c r="K11" s="72">
        <v>-0.15362500000000001</v>
      </c>
      <c r="L11" s="72">
        <v>3.7543600000000003E-2</v>
      </c>
      <c r="M11" s="72">
        <v>4.2782099999999998E-5</v>
      </c>
      <c r="N11" s="72">
        <v>1</v>
      </c>
      <c r="O11" s="18"/>
      <c r="P11" s="18"/>
      <c r="Q11" s="18"/>
      <c r="R11" s="18"/>
      <c r="S11" s="18"/>
      <c r="T11" s="19"/>
    </row>
    <row r="12" spans="1:20" x14ac:dyDescent="0.2">
      <c r="A12" s="72">
        <v>11</v>
      </c>
      <c r="B12" s="72" t="s">
        <v>179</v>
      </c>
      <c r="C12" s="72">
        <v>236337</v>
      </c>
      <c r="D12" s="72" t="s">
        <v>17</v>
      </c>
      <c r="E12" s="72" t="s">
        <v>84</v>
      </c>
      <c r="F12" s="72">
        <v>5410</v>
      </c>
      <c r="G12" s="72">
        <v>1.1552700000000001E-2</v>
      </c>
      <c r="H12" s="72">
        <v>21.640699999999999</v>
      </c>
      <c r="I12" s="72">
        <v>5.3101000000000003</v>
      </c>
      <c r="J12" s="72">
        <v>4.59383E-5</v>
      </c>
      <c r="K12" s="72">
        <v>0.76747799999999999</v>
      </c>
      <c r="L12" s="72">
        <v>0.18757099999999999</v>
      </c>
      <c r="M12" s="72">
        <v>4.2827700000000003E-5</v>
      </c>
      <c r="N12" s="72">
        <v>1</v>
      </c>
      <c r="O12" s="18"/>
      <c r="P12" s="18"/>
      <c r="Q12" s="18"/>
      <c r="R12" s="18"/>
      <c r="S12" s="18"/>
      <c r="T12" s="19"/>
    </row>
    <row r="13" spans="1:20" x14ac:dyDescent="0.2">
      <c r="A13" s="72">
        <v>19</v>
      </c>
      <c r="B13" s="72" t="s">
        <v>220</v>
      </c>
      <c r="C13" s="72">
        <v>58118469</v>
      </c>
      <c r="D13" s="72" t="s">
        <v>221</v>
      </c>
      <c r="E13" s="72" t="s">
        <v>17</v>
      </c>
      <c r="F13" s="72">
        <v>4992</v>
      </c>
      <c r="G13" s="72">
        <v>0.17518</v>
      </c>
      <c r="H13" s="72">
        <v>-80.606800000000007</v>
      </c>
      <c r="I13" s="72">
        <v>19.799900000000001</v>
      </c>
      <c r="J13" s="72">
        <v>4.6798000000000002E-5</v>
      </c>
      <c r="K13" s="72">
        <v>-0.20560999999999999</v>
      </c>
      <c r="L13" s="72">
        <v>5.04205E-2</v>
      </c>
      <c r="M13" s="72">
        <v>4.5441800000000003E-5</v>
      </c>
      <c r="N13" s="72">
        <v>1</v>
      </c>
    </row>
    <row r="14" spans="1:20" x14ac:dyDescent="0.2">
      <c r="A14" s="72">
        <v>8</v>
      </c>
      <c r="B14" s="72" t="s">
        <v>166</v>
      </c>
      <c r="C14" s="72">
        <v>74028948</v>
      </c>
      <c r="D14" s="72" t="s">
        <v>9</v>
      </c>
      <c r="E14" s="72" t="s">
        <v>84</v>
      </c>
      <c r="F14" s="72">
        <v>5409</v>
      </c>
      <c r="G14" s="72">
        <v>0.165188</v>
      </c>
      <c r="H14" s="72">
        <v>-73.627499999999998</v>
      </c>
      <c r="I14" s="72">
        <v>18.622399999999999</v>
      </c>
      <c r="J14" s="72">
        <v>7.6948399999999997E-5</v>
      </c>
      <c r="K14" s="72">
        <v>-0.21231</v>
      </c>
      <c r="L14" s="72">
        <v>5.2781500000000002E-2</v>
      </c>
      <c r="M14" s="72">
        <v>5.7601700000000001E-5</v>
      </c>
      <c r="N14" s="72">
        <v>1</v>
      </c>
    </row>
    <row r="15" spans="1:20" x14ac:dyDescent="0.2">
      <c r="A15" s="72">
        <v>20</v>
      </c>
      <c r="B15" s="72" t="s">
        <v>222</v>
      </c>
      <c r="C15" s="72">
        <v>8760380</v>
      </c>
      <c r="D15" s="72" t="s">
        <v>9</v>
      </c>
      <c r="E15" s="72" t="s">
        <v>84</v>
      </c>
      <c r="F15" s="72">
        <v>5408</v>
      </c>
      <c r="G15" s="72">
        <v>0.18213799999999999</v>
      </c>
      <c r="H15" s="72">
        <v>-76.340500000000006</v>
      </c>
      <c r="I15" s="72">
        <v>19.2468</v>
      </c>
      <c r="J15" s="72">
        <v>7.2967399999999995E-5</v>
      </c>
      <c r="K15" s="72">
        <v>-0.20608099999999999</v>
      </c>
      <c r="L15" s="72">
        <v>5.1288E-2</v>
      </c>
      <c r="M15" s="72">
        <v>5.8668600000000003E-5</v>
      </c>
      <c r="N15" s="72">
        <v>1</v>
      </c>
    </row>
    <row r="16" spans="1:20" x14ac:dyDescent="0.2">
      <c r="A16" s="73">
        <v>19</v>
      </c>
      <c r="B16" s="73" t="s">
        <v>223</v>
      </c>
      <c r="C16" s="73">
        <v>18061076</v>
      </c>
      <c r="D16" s="73" t="s">
        <v>17</v>
      </c>
      <c r="E16" s="73" t="s">
        <v>8</v>
      </c>
      <c r="F16" s="73">
        <v>5410</v>
      </c>
      <c r="G16" s="73">
        <v>0.24732000000000001</v>
      </c>
      <c r="H16" s="73">
        <v>84.369799999999998</v>
      </c>
      <c r="I16" s="73">
        <v>21.777999999999999</v>
      </c>
      <c r="J16" s="73">
        <v>1.0703E-4</v>
      </c>
      <c r="K16" s="73">
        <v>0.17788899999999999</v>
      </c>
      <c r="L16" s="73">
        <v>4.4274800000000003E-2</v>
      </c>
      <c r="M16" s="73">
        <v>5.8733700000000003E-5</v>
      </c>
      <c r="N16" s="73">
        <v>1</v>
      </c>
    </row>
    <row r="17" spans="1:14" x14ac:dyDescent="0.2">
      <c r="A17" s="72">
        <v>20</v>
      </c>
      <c r="B17" s="72" t="s">
        <v>224</v>
      </c>
      <c r="C17" s="72">
        <v>8789635</v>
      </c>
      <c r="D17" s="72" t="s">
        <v>8</v>
      </c>
      <c r="E17" s="72" t="s">
        <v>17</v>
      </c>
      <c r="F17" s="72">
        <v>5408</v>
      </c>
      <c r="G17" s="72">
        <v>0.18592800000000001</v>
      </c>
      <c r="H17" s="72">
        <v>-76.4739</v>
      </c>
      <c r="I17" s="72">
        <v>19.4435</v>
      </c>
      <c r="J17" s="72">
        <v>8.38474E-5</v>
      </c>
      <c r="K17" s="72">
        <v>-0.20228499999999999</v>
      </c>
      <c r="L17" s="72">
        <v>5.0715799999999998E-2</v>
      </c>
      <c r="M17" s="72">
        <v>6.6467499999999993E-5</v>
      </c>
      <c r="N17" s="72">
        <v>1</v>
      </c>
    </row>
    <row r="18" spans="1:14" s="74" customFormat="1" x14ac:dyDescent="0.2">
      <c r="A18" s="73">
        <v>9</v>
      </c>
      <c r="B18" s="73" t="s">
        <v>225</v>
      </c>
      <c r="C18" s="73">
        <v>35679254</v>
      </c>
      <c r="D18" s="73" t="s">
        <v>17</v>
      </c>
      <c r="E18" s="73" t="s">
        <v>8</v>
      </c>
      <c r="F18" s="73">
        <v>5410</v>
      </c>
      <c r="G18" s="73">
        <v>8.4011100000000005E-2</v>
      </c>
      <c r="H18" s="73">
        <v>55.819800000000001</v>
      </c>
      <c r="I18" s="73">
        <v>14.0024</v>
      </c>
      <c r="J18" s="73">
        <v>6.7066700000000006E-5</v>
      </c>
      <c r="K18" s="73">
        <v>0.28469899999999998</v>
      </c>
      <c r="L18" s="73">
        <v>7.1387699999999998E-2</v>
      </c>
      <c r="M18" s="73">
        <v>6.66125E-5</v>
      </c>
      <c r="N18" s="73">
        <v>1</v>
      </c>
    </row>
    <row r="19" spans="1:14" x14ac:dyDescent="0.2">
      <c r="A19" s="72">
        <v>9</v>
      </c>
      <c r="B19" s="72" t="s">
        <v>226</v>
      </c>
      <c r="C19" s="72">
        <v>128538163</v>
      </c>
      <c r="D19" s="72" t="s">
        <v>8</v>
      </c>
      <c r="E19" s="72" t="s">
        <v>17</v>
      </c>
      <c r="F19" s="72">
        <v>5369</v>
      </c>
      <c r="G19" s="72">
        <v>8.7725800000000007E-2</v>
      </c>
      <c r="H19" s="72">
        <v>57.339399999999998</v>
      </c>
      <c r="I19" s="72">
        <v>14.4932</v>
      </c>
      <c r="J19" s="72">
        <v>7.6125799999999995E-5</v>
      </c>
      <c r="K19" s="72">
        <v>0.27297399999999999</v>
      </c>
      <c r="L19" s="72">
        <v>6.8550700000000006E-2</v>
      </c>
      <c r="M19" s="72">
        <v>6.8316299999999995E-5</v>
      </c>
      <c r="N19" s="72">
        <v>1</v>
      </c>
    </row>
    <row r="20" spans="1:14" x14ac:dyDescent="0.2">
      <c r="A20" s="72">
        <v>16</v>
      </c>
      <c r="B20" s="72" t="s">
        <v>227</v>
      </c>
      <c r="C20" s="72">
        <v>53494167</v>
      </c>
      <c r="D20" s="72" t="s">
        <v>84</v>
      </c>
      <c r="E20" s="72" t="s">
        <v>9</v>
      </c>
      <c r="F20" s="72">
        <v>5410</v>
      </c>
      <c r="G20" s="72">
        <v>1.0905700000000001E-2</v>
      </c>
      <c r="H20" s="72">
        <v>20.4619</v>
      </c>
      <c r="I20" s="72">
        <v>5.1706300000000001</v>
      </c>
      <c r="J20" s="72">
        <v>7.5789299999999996E-5</v>
      </c>
      <c r="K20" s="72">
        <v>0.76534999999999997</v>
      </c>
      <c r="L20" s="72">
        <v>0.19241</v>
      </c>
      <c r="M20" s="72">
        <v>6.9581300000000004E-5</v>
      </c>
      <c r="N20" s="72">
        <v>1</v>
      </c>
    </row>
    <row r="21" spans="1:14" x14ac:dyDescent="0.2">
      <c r="A21" s="72">
        <v>9</v>
      </c>
      <c r="B21" s="72" t="s">
        <v>228</v>
      </c>
      <c r="C21" s="72">
        <v>128483873</v>
      </c>
      <c r="D21" s="72" t="s">
        <v>17</v>
      </c>
      <c r="E21" s="72" t="s">
        <v>8</v>
      </c>
      <c r="F21" s="72">
        <v>5394</v>
      </c>
      <c r="G21" s="72">
        <v>8.9821999999999999E-2</v>
      </c>
      <c r="H21" s="72">
        <v>57.372500000000002</v>
      </c>
      <c r="I21" s="72">
        <v>14.585100000000001</v>
      </c>
      <c r="J21" s="72">
        <v>8.3665399999999994E-5</v>
      </c>
      <c r="K21" s="72">
        <v>0.269704</v>
      </c>
      <c r="L21" s="72">
        <v>6.8135899999999999E-2</v>
      </c>
      <c r="M21" s="72">
        <v>7.5476999999999996E-5</v>
      </c>
      <c r="N21" s="72">
        <v>1</v>
      </c>
    </row>
    <row r="23" spans="1:14" x14ac:dyDescent="0.2">
      <c r="A23" s="67" t="s">
        <v>266</v>
      </c>
      <c r="B23" s="68"/>
      <c r="C23" s="68"/>
      <c r="D23" s="68"/>
      <c r="E23" s="68"/>
      <c r="F23" s="69"/>
    </row>
    <row r="24" spans="1:14" x14ac:dyDescent="0.2">
      <c r="A24" s="59" t="s">
        <v>68</v>
      </c>
      <c r="B24" s="60" t="s">
        <v>2</v>
      </c>
      <c r="C24" s="60" t="s">
        <v>3</v>
      </c>
      <c r="D24" s="60" t="s">
        <v>4</v>
      </c>
      <c r="E24" s="60" t="s">
        <v>189</v>
      </c>
      <c r="F24" s="60" t="s">
        <v>157</v>
      </c>
    </row>
    <row r="25" spans="1:14" x14ac:dyDescent="0.2">
      <c r="A25" s="61">
        <v>4</v>
      </c>
      <c r="B25" s="62" t="s">
        <v>7</v>
      </c>
      <c r="C25" s="62">
        <v>0.63394499999999998</v>
      </c>
      <c r="D25" s="62">
        <v>-0.15701399999999999</v>
      </c>
      <c r="E25" s="63">
        <v>4.1911600000000001E-7</v>
      </c>
      <c r="F25" s="62" t="s">
        <v>14</v>
      </c>
    </row>
    <row r="26" spans="1:14" x14ac:dyDescent="0.2">
      <c r="A26" s="64">
        <v>23</v>
      </c>
      <c r="B26" s="65" t="s">
        <v>173</v>
      </c>
      <c r="C26" s="65">
        <v>5.6099799999999998E-2</v>
      </c>
      <c r="D26" s="65">
        <v>0.39591500000000002</v>
      </c>
      <c r="E26" s="66">
        <v>4.2590500000000003E-6</v>
      </c>
      <c r="F26" s="62" t="s">
        <v>259</v>
      </c>
    </row>
    <row r="27" spans="1:14" x14ac:dyDescent="0.2">
      <c r="A27" s="64">
        <v>8</v>
      </c>
      <c r="B27" s="65" t="s">
        <v>174</v>
      </c>
      <c r="C27" s="65">
        <v>8.3179299999999998E-2</v>
      </c>
      <c r="D27" s="65">
        <v>0.30874600000000002</v>
      </c>
      <c r="E27" s="66">
        <v>1.6264900000000001E-5</v>
      </c>
      <c r="F27" s="62" t="s">
        <v>260</v>
      </c>
    </row>
    <row r="28" spans="1:14" x14ac:dyDescent="0.2">
      <c r="A28" s="64">
        <v>2</v>
      </c>
      <c r="B28" s="65" t="s">
        <v>175</v>
      </c>
      <c r="C28" s="65">
        <v>0.30110900000000002</v>
      </c>
      <c r="D28" s="65">
        <v>0.18174799999999999</v>
      </c>
      <c r="E28" s="66">
        <v>1.8547E-5</v>
      </c>
      <c r="F28" s="62" t="s">
        <v>261</v>
      </c>
    </row>
    <row r="29" spans="1:14" x14ac:dyDescent="0.2">
      <c r="A29" s="64">
        <v>2</v>
      </c>
      <c r="B29" s="65" t="s">
        <v>20</v>
      </c>
      <c r="C29" s="65">
        <v>0.48859599999999997</v>
      </c>
      <c r="D29" s="65">
        <v>-0.14838000000000001</v>
      </c>
      <c r="E29" s="66">
        <v>2.8081599999999999E-5</v>
      </c>
      <c r="F29" s="62" t="s">
        <v>22</v>
      </c>
    </row>
    <row r="30" spans="1:14" x14ac:dyDescent="0.2">
      <c r="A30" s="64">
        <v>1</v>
      </c>
      <c r="B30" s="65" t="s">
        <v>176</v>
      </c>
      <c r="C30" s="65">
        <v>0.53009799999999996</v>
      </c>
      <c r="D30" s="65">
        <v>0.16389300000000001</v>
      </c>
      <c r="E30" s="66">
        <v>3.31006E-5</v>
      </c>
      <c r="F30" s="62" t="s">
        <v>262</v>
      </c>
    </row>
    <row r="31" spans="1:14" x14ac:dyDescent="0.2">
      <c r="A31" s="64">
        <v>9</v>
      </c>
      <c r="B31" s="65" t="s">
        <v>177</v>
      </c>
      <c r="C31" s="65">
        <v>0.35477900000000001</v>
      </c>
      <c r="D31" s="65">
        <v>0.171991</v>
      </c>
      <c r="E31" s="66">
        <v>3.7344E-5</v>
      </c>
      <c r="F31" s="62" t="s">
        <v>263</v>
      </c>
    </row>
    <row r="32" spans="1:14" x14ac:dyDescent="0.2">
      <c r="A32" s="64">
        <v>7</v>
      </c>
      <c r="B32" s="65" t="s">
        <v>45</v>
      </c>
      <c r="C32" s="65">
        <v>0.78386999999999996</v>
      </c>
      <c r="D32" s="65">
        <v>-0.15362500000000001</v>
      </c>
      <c r="E32" s="66">
        <v>4.2782099999999998E-5</v>
      </c>
      <c r="F32" s="62" t="s">
        <v>44</v>
      </c>
    </row>
    <row r="33" spans="1:6" x14ac:dyDescent="0.2">
      <c r="A33" s="64">
        <v>11</v>
      </c>
      <c r="B33" s="65" t="s">
        <v>179</v>
      </c>
      <c r="C33" s="65">
        <v>1.1552700000000001E-2</v>
      </c>
      <c r="D33" s="65">
        <v>0.76747799999999999</v>
      </c>
      <c r="E33" s="66">
        <v>4.2827700000000003E-5</v>
      </c>
      <c r="F33" s="62" t="s">
        <v>264</v>
      </c>
    </row>
    <row r="34" spans="1:6" x14ac:dyDescent="0.2">
      <c r="A34" s="64">
        <v>19</v>
      </c>
      <c r="B34" s="65" t="s">
        <v>220</v>
      </c>
      <c r="C34" s="65">
        <v>0.17518</v>
      </c>
      <c r="D34" s="65">
        <v>-0.20560999999999999</v>
      </c>
      <c r="E34" s="66">
        <v>4.5441800000000003E-5</v>
      </c>
      <c r="F34" s="62" t="s">
        <v>265</v>
      </c>
    </row>
    <row r="35" spans="1:6" x14ac:dyDescent="0.2">
      <c r="B35" s="18"/>
    </row>
    <row r="36" spans="1:6" x14ac:dyDescent="0.2">
      <c r="B36" s="18"/>
    </row>
    <row r="37" spans="1:6" x14ac:dyDescent="0.2">
      <c r="B37" s="18"/>
    </row>
    <row r="38" spans="1:6" x14ac:dyDescent="0.2">
      <c r="B38" s="18"/>
    </row>
    <row r="39" spans="1:6" x14ac:dyDescent="0.2">
      <c r="B39" s="18"/>
    </row>
    <row r="40" spans="1:6" x14ac:dyDescent="0.2">
      <c r="B40" s="18"/>
    </row>
    <row r="41" spans="1:6" x14ac:dyDescent="0.2">
      <c r="B41" s="18"/>
    </row>
    <row r="42" spans="1:6" x14ac:dyDescent="0.2">
      <c r="B42" s="18"/>
    </row>
    <row r="43" spans="1:6" x14ac:dyDescent="0.2">
      <c r="B43" s="18"/>
    </row>
  </sheetData>
  <mergeCells count="1">
    <mergeCell ref="A23:F23"/>
  </mergeCells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146AC-0A92-AC49-9DAD-D4CA4AF4BB69}">
  <dimension ref="A1:P39"/>
  <sheetViews>
    <sheetView showGridLines="0" zoomScale="82" zoomScaleNormal="141" workbookViewId="0">
      <selection activeCell="I36" sqref="I36"/>
    </sheetView>
  </sheetViews>
  <sheetFormatPr baseColWidth="10" defaultRowHeight="16" x14ac:dyDescent="0.2"/>
  <cols>
    <col min="2" max="2" width="20.83203125" customWidth="1"/>
    <col min="3" max="5" width="10.83203125" customWidth="1"/>
    <col min="6" max="6" width="10.1640625" customWidth="1"/>
    <col min="8" max="9" width="10.83203125" customWidth="1"/>
    <col min="10" max="10" width="12.5" customWidth="1"/>
    <col min="11" max="11" width="13.6640625" customWidth="1"/>
    <col min="12" max="12" width="10.83203125" customWidth="1"/>
  </cols>
  <sheetData>
    <row r="1" spans="1:16" x14ac:dyDescent="0.2">
      <c r="A1" s="71" t="s">
        <v>68</v>
      </c>
      <c r="B1" s="71" t="s">
        <v>2</v>
      </c>
      <c r="C1" s="71" t="s">
        <v>69</v>
      </c>
      <c r="D1" s="71" t="s">
        <v>70</v>
      </c>
      <c r="E1" s="71" t="s">
        <v>71</v>
      </c>
      <c r="F1" s="71" t="s">
        <v>72</v>
      </c>
      <c r="G1" s="71" t="s">
        <v>3</v>
      </c>
      <c r="H1" s="71" t="s">
        <v>9</v>
      </c>
      <c r="I1" s="71" t="s">
        <v>73</v>
      </c>
      <c r="J1" s="71" t="s">
        <v>74</v>
      </c>
      <c r="K1" s="71" t="s">
        <v>4</v>
      </c>
      <c r="L1" s="71" t="s">
        <v>75</v>
      </c>
      <c r="M1" s="71" t="s">
        <v>5</v>
      </c>
      <c r="N1" s="71" t="s">
        <v>158</v>
      </c>
    </row>
    <row r="2" spans="1:16" x14ac:dyDescent="0.2">
      <c r="A2" s="72">
        <v>4</v>
      </c>
      <c r="B2" s="72" t="s">
        <v>7</v>
      </c>
      <c r="C2" s="72">
        <v>26672139</v>
      </c>
      <c r="D2" s="72" t="s">
        <v>8</v>
      </c>
      <c r="E2" s="72" t="s">
        <v>9</v>
      </c>
      <c r="F2" s="72">
        <v>13788</v>
      </c>
      <c r="G2" s="72">
        <v>0.63145499999999999</v>
      </c>
      <c r="H2" s="72">
        <v>-244.917</v>
      </c>
      <c r="I2" s="72">
        <v>32.207900000000002</v>
      </c>
      <c r="J2" s="72">
        <v>2.8655400000000003E-14</v>
      </c>
      <c r="K2" s="72">
        <v>-0.236099</v>
      </c>
      <c r="L2" s="72">
        <v>3.1158399999999999E-2</v>
      </c>
      <c r="M2" s="72">
        <v>3.5260800000000001E-14</v>
      </c>
      <c r="N2" s="72">
        <v>1</v>
      </c>
    </row>
    <row r="3" spans="1:16" x14ac:dyDescent="0.2">
      <c r="A3" s="72">
        <v>4</v>
      </c>
      <c r="B3" s="72" t="s">
        <v>16</v>
      </c>
      <c r="C3" s="72">
        <v>26672165</v>
      </c>
      <c r="D3" s="72" t="s">
        <v>17</v>
      </c>
      <c r="E3" s="72" t="s">
        <v>8</v>
      </c>
      <c r="F3" s="72">
        <v>14012</v>
      </c>
      <c r="G3" s="72">
        <v>0.65204799999999996</v>
      </c>
      <c r="H3" s="72">
        <v>-230.72200000000001</v>
      </c>
      <c r="I3" s="72">
        <v>32.048400000000001</v>
      </c>
      <c r="J3" s="72">
        <v>6.05786E-13</v>
      </c>
      <c r="K3" s="72">
        <v>-0.224634</v>
      </c>
      <c r="L3" s="72">
        <v>3.1308099999999998E-2</v>
      </c>
      <c r="M3" s="72">
        <v>7.2335800000000002E-13</v>
      </c>
      <c r="N3" s="72">
        <v>1</v>
      </c>
      <c r="P3" s="18"/>
    </row>
    <row r="4" spans="1:16" x14ac:dyDescent="0.2">
      <c r="A4" s="72">
        <v>12</v>
      </c>
      <c r="B4" s="72" t="s">
        <v>40</v>
      </c>
      <c r="C4" s="72">
        <v>25516165</v>
      </c>
      <c r="D4" s="72" t="s">
        <v>8</v>
      </c>
      <c r="E4" s="72" t="s">
        <v>17</v>
      </c>
      <c r="F4" s="72">
        <v>14192</v>
      </c>
      <c r="G4" s="72">
        <v>0.56760900000000003</v>
      </c>
      <c r="H4" s="72">
        <v>-157.24199999999999</v>
      </c>
      <c r="I4" s="72">
        <v>29.797699999999999</v>
      </c>
      <c r="J4" s="72">
        <v>1.3131999999999999E-7</v>
      </c>
      <c r="K4" s="72">
        <v>-0.177094</v>
      </c>
      <c r="L4" s="72">
        <v>3.35378E-2</v>
      </c>
      <c r="M4" s="72">
        <v>1.28878E-7</v>
      </c>
      <c r="N4" s="72">
        <v>1</v>
      </c>
      <c r="P4" s="18"/>
    </row>
    <row r="5" spans="1:16" x14ac:dyDescent="0.2">
      <c r="A5" s="72">
        <v>2</v>
      </c>
      <c r="B5" s="72" t="s">
        <v>20</v>
      </c>
      <c r="C5" s="72">
        <v>112015789</v>
      </c>
      <c r="D5" s="72" t="s">
        <v>17</v>
      </c>
      <c r="E5" s="72" t="s">
        <v>8</v>
      </c>
      <c r="F5" s="72">
        <v>14132</v>
      </c>
      <c r="G5" s="72">
        <v>0.49497600000000003</v>
      </c>
      <c r="H5" s="72">
        <v>-148.59</v>
      </c>
      <c r="I5" s="72">
        <v>28.323799999999999</v>
      </c>
      <c r="J5" s="72">
        <v>1.55325E-7</v>
      </c>
      <c r="K5" s="72">
        <v>-0.18522</v>
      </c>
      <c r="L5" s="72">
        <v>3.5330100000000003E-2</v>
      </c>
      <c r="M5" s="72">
        <v>1.58365E-7</v>
      </c>
      <c r="N5" s="72">
        <v>1</v>
      </c>
      <c r="P5" s="18"/>
    </row>
    <row r="6" spans="1:16" x14ac:dyDescent="0.2">
      <c r="A6" s="72">
        <v>12</v>
      </c>
      <c r="B6" s="72" t="s">
        <v>30</v>
      </c>
      <c r="C6" s="72">
        <v>25516252</v>
      </c>
      <c r="D6" s="72" t="s">
        <v>8</v>
      </c>
      <c r="E6" s="72" t="s">
        <v>17</v>
      </c>
      <c r="F6" s="72">
        <v>14230</v>
      </c>
      <c r="G6" s="72">
        <v>0.52375300000000002</v>
      </c>
      <c r="H6" s="72">
        <v>-155.03299999999999</v>
      </c>
      <c r="I6" s="72">
        <v>29.761800000000001</v>
      </c>
      <c r="J6" s="72">
        <v>1.8974600000000001E-7</v>
      </c>
      <c r="K6" s="72">
        <v>-0.17502699999999999</v>
      </c>
      <c r="L6" s="72">
        <v>3.3589500000000001E-2</v>
      </c>
      <c r="M6" s="72">
        <v>1.8807399999999999E-7</v>
      </c>
      <c r="N6" s="72">
        <v>1</v>
      </c>
      <c r="P6" s="18"/>
    </row>
    <row r="7" spans="1:16" x14ac:dyDescent="0.2">
      <c r="A7" s="72">
        <v>12</v>
      </c>
      <c r="B7" s="72" t="s">
        <v>36</v>
      </c>
      <c r="C7" s="72">
        <v>25516266</v>
      </c>
      <c r="D7" s="72" t="s">
        <v>17</v>
      </c>
      <c r="E7" s="72" t="s">
        <v>9</v>
      </c>
      <c r="F7" s="72">
        <v>14068</v>
      </c>
      <c r="G7" s="72">
        <v>0.55071800000000004</v>
      </c>
      <c r="H7" s="72">
        <v>-155.495</v>
      </c>
      <c r="I7" s="72">
        <v>30.127199999999998</v>
      </c>
      <c r="J7" s="72">
        <v>2.45269E-7</v>
      </c>
      <c r="K7" s="72">
        <v>-0.171316</v>
      </c>
      <c r="L7" s="72">
        <v>3.3177100000000001E-2</v>
      </c>
      <c r="M7" s="72">
        <v>2.4212299999999998E-7</v>
      </c>
      <c r="N7" s="72">
        <v>1</v>
      </c>
      <c r="P7" s="18"/>
    </row>
    <row r="8" spans="1:16" x14ac:dyDescent="0.2">
      <c r="A8" s="72">
        <v>7</v>
      </c>
      <c r="B8" s="72" t="s">
        <v>45</v>
      </c>
      <c r="C8" s="72">
        <v>77406075</v>
      </c>
      <c r="D8" s="72" t="s">
        <v>84</v>
      </c>
      <c r="E8" s="72" t="s">
        <v>9</v>
      </c>
      <c r="F8" s="72">
        <v>14125</v>
      </c>
      <c r="G8" s="72">
        <v>0.78700899999999996</v>
      </c>
      <c r="H8" s="72">
        <v>-134.19</v>
      </c>
      <c r="I8" s="72">
        <v>26.290700000000001</v>
      </c>
      <c r="J8" s="72">
        <v>3.32412E-7</v>
      </c>
      <c r="K8" s="72">
        <v>-0.19414000000000001</v>
      </c>
      <c r="L8" s="72">
        <v>3.8285899999999998E-2</v>
      </c>
      <c r="M8" s="72">
        <v>3.9616000000000002E-7</v>
      </c>
      <c r="N8" s="72">
        <v>1</v>
      </c>
      <c r="P8" s="18"/>
    </row>
    <row r="9" spans="1:16" x14ac:dyDescent="0.2">
      <c r="A9" s="72">
        <v>5</v>
      </c>
      <c r="B9" s="72" t="s">
        <v>62</v>
      </c>
      <c r="C9" s="72">
        <v>840227</v>
      </c>
      <c r="D9" s="72" t="s">
        <v>17</v>
      </c>
      <c r="E9" s="72" t="s">
        <v>8</v>
      </c>
      <c r="F9" s="72">
        <v>15048</v>
      </c>
      <c r="G9" s="72">
        <v>0.37716</v>
      </c>
      <c r="H9" s="72">
        <v>-72.938400000000001</v>
      </c>
      <c r="I9" s="72">
        <v>15.140499999999999</v>
      </c>
      <c r="J9" s="72">
        <v>1.4540800000000001E-6</v>
      </c>
      <c r="K9" s="72">
        <v>-0.31818299999999999</v>
      </c>
      <c r="L9" s="72">
        <v>6.6254800000000003E-2</v>
      </c>
      <c r="M9" s="72">
        <v>1.5676E-6</v>
      </c>
      <c r="N9" s="72">
        <v>1</v>
      </c>
      <c r="P9" s="18"/>
    </row>
    <row r="10" spans="1:16" x14ac:dyDescent="0.2">
      <c r="A10" s="72">
        <v>12</v>
      </c>
      <c r="B10" s="72" t="s">
        <v>42</v>
      </c>
      <c r="C10" s="72">
        <v>25516226</v>
      </c>
      <c r="D10" s="72" t="s">
        <v>17</v>
      </c>
      <c r="E10" s="72" t="s">
        <v>84</v>
      </c>
      <c r="F10" s="72">
        <v>14146</v>
      </c>
      <c r="G10" s="72">
        <v>0.56475299999999995</v>
      </c>
      <c r="H10" s="72">
        <v>-140.49700000000001</v>
      </c>
      <c r="I10" s="72">
        <v>30.147600000000001</v>
      </c>
      <c r="J10" s="72">
        <v>3.1575400000000001E-6</v>
      </c>
      <c r="K10" s="72">
        <v>-0.154583</v>
      </c>
      <c r="L10" s="72">
        <v>3.3144E-2</v>
      </c>
      <c r="M10" s="72">
        <v>3.1016999999999999E-6</v>
      </c>
      <c r="N10" s="72">
        <v>1</v>
      </c>
      <c r="P10" s="18"/>
    </row>
    <row r="11" spans="1:16" x14ac:dyDescent="0.2">
      <c r="A11" s="72">
        <v>10</v>
      </c>
      <c r="B11" s="72" t="s">
        <v>24</v>
      </c>
      <c r="C11" s="72">
        <v>91935140</v>
      </c>
      <c r="D11" s="72" t="s">
        <v>9</v>
      </c>
      <c r="E11" s="72" t="s">
        <v>8</v>
      </c>
      <c r="F11" s="72">
        <v>14173</v>
      </c>
      <c r="G11" s="72">
        <v>0.47953899999999999</v>
      </c>
      <c r="H11" s="72">
        <v>-131.53800000000001</v>
      </c>
      <c r="I11" s="72">
        <v>29.118600000000001</v>
      </c>
      <c r="J11" s="72">
        <v>6.2627899999999997E-6</v>
      </c>
      <c r="K11" s="72">
        <v>-0.155135</v>
      </c>
      <c r="L11" s="72">
        <v>3.4291000000000002E-2</v>
      </c>
      <c r="M11" s="72">
        <v>6.0662399999999999E-6</v>
      </c>
      <c r="N11" s="72">
        <v>1</v>
      </c>
      <c r="P11" s="18"/>
    </row>
    <row r="12" spans="1:16" x14ac:dyDescent="0.2">
      <c r="A12" s="72">
        <v>10</v>
      </c>
      <c r="B12" s="72" t="s">
        <v>41</v>
      </c>
      <c r="C12" s="72">
        <v>91935136</v>
      </c>
      <c r="D12" s="72" t="s">
        <v>9</v>
      </c>
      <c r="E12" s="72" t="s">
        <v>8</v>
      </c>
      <c r="F12" s="72">
        <v>14203</v>
      </c>
      <c r="G12" s="72">
        <v>0.35150999999999999</v>
      </c>
      <c r="H12" s="72">
        <v>-118.02500000000001</v>
      </c>
      <c r="I12" s="72">
        <v>26.899000000000001</v>
      </c>
      <c r="J12" s="72">
        <v>1.1455599999999999E-5</v>
      </c>
      <c r="K12" s="72">
        <v>-0.16311700000000001</v>
      </c>
      <c r="L12" s="72">
        <v>3.6967600000000003E-2</v>
      </c>
      <c r="M12" s="72">
        <v>1.0221099999999999E-5</v>
      </c>
      <c r="N12" s="72">
        <v>1</v>
      </c>
      <c r="P12" s="18"/>
    </row>
    <row r="13" spans="1:16" x14ac:dyDescent="0.2">
      <c r="A13" s="72">
        <v>19</v>
      </c>
      <c r="B13" s="72" t="s">
        <v>212</v>
      </c>
      <c r="C13" s="72">
        <v>425182</v>
      </c>
      <c r="D13" s="72" t="s">
        <v>8</v>
      </c>
      <c r="E13" s="72" t="s">
        <v>17</v>
      </c>
      <c r="F13" s="72">
        <v>15173</v>
      </c>
      <c r="G13" s="72">
        <v>2.9097700000000001E-2</v>
      </c>
      <c r="H13" s="72">
        <v>37.003300000000003</v>
      </c>
      <c r="I13" s="72">
        <v>8.2773599999999998</v>
      </c>
      <c r="J13" s="72">
        <v>7.8063599999999992E-6</v>
      </c>
      <c r="K13" s="72">
        <v>0.54007899999999998</v>
      </c>
      <c r="L13" s="72">
        <v>0.123173</v>
      </c>
      <c r="M13" s="72">
        <v>1.1613100000000001E-5</v>
      </c>
      <c r="N13" s="72">
        <v>1</v>
      </c>
    </row>
    <row r="14" spans="1:16" x14ac:dyDescent="0.2">
      <c r="A14" s="72">
        <v>8</v>
      </c>
      <c r="B14" s="72" t="s">
        <v>53</v>
      </c>
      <c r="C14" s="72">
        <v>28058313</v>
      </c>
      <c r="D14" s="72" t="s">
        <v>84</v>
      </c>
      <c r="E14" s="72" t="s">
        <v>9</v>
      </c>
      <c r="F14" s="72">
        <v>14282</v>
      </c>
      <c r="G14" s="72">
        <v>0.91100700000000001</v>
      </c>
      <c r="H14" s="72">
        <v>-85.026700000000005</v>
      </c>
      <c r="I14" s="72">
        <v>19.242599999999999</v>
      </c>
      <c r="J14" s="72">
        <v>9.9306699999999992E-6</v>
      </c>
      <c r="K14" s="72">
        <v>-0.22963</v>
      </c>
      <c r="L14" s="72">
        <v>5.2635099999999997E-2</v>
      </c>
      <c r="M14" s="72">
        <v>1.28475E-5</v>
      </c>
      <c r="N14" s="72">
        <v>1</v>
      </c>
    </row>
    <row r="15" spans="1:16" x14ac:dyDescent="0.2">
      <c r="A15" s="72">
        <v>22</v>
      </c>
      <c r="B15" s="72" t="s">
        <v>213</v>
      </c>
      <c r="C15" s="72">
        <v>31137981</v>
      </c>
      <c r="D15" s="72" t="s">
        <v>8</v>
      </c>
      <c r="E15" s="72" t="s">
        <v>17</v>
      </c>
      <c r="F15" s="72">
        <v>15172</v>
      </c>
      <c r="G15" s="72">
        <v>0.35206300000000001</v>
      </c>
      <c r="H15" s="72">
        <v>103.398</v>
      </c>
      <c r="I15" s="72">
        <v>24.1768</v>
      </c>
      <c r="J15" s="72">
        <v>1.8963499999999999E-5</v>
      </c>
      <c r="K15" s="72">
        <v>0.176895</v>
      </c>
      <c r="L15" s="72">
        <v>4.0722099999999997E-2</v>
      </c>
      <c r="M15" s="72">
        <v>1.39938E-5</v>
      </c>
      <c r="N15" s="72">
        <v>1</v>
      </c>
    </row>
    <row r="16" spans="1:16" x14ac:dyDescent="0.2">
      <c r="A16" s="73">
        <v>22</v>
      </c>
      <c r="B16" s="73" t="s">
        <v>214</v>
      </c>
      <c r="C16" s="73">
        <v>43687562</v>
      </c>
      <c r="D16" s="73" t="s">
        <v>84</v>
      </c>
      <c r="E16" s="73" t="s">
        <v>9</v>
      </c>
      <c r="F16" s="73">
        <v>15173</v>
      </c>
      <c r="G16" s="73">
        <v>0.18878900000000001</v>
      </c>
      <c r="H16" s="73">
        <v>76.924800000000005</v>
      </c>
      <c r="I16" s="73">
        <v>19.675699999999999</v>
      </c>
      <c r="J16" s="73">
        <v>9.2439200000000001E-5</v>
      </c>
      <c r="K16" s="73">
        <v>0.19870299999999999</v>
      </c>
      <c r="L16" s="73">
        <v>4.8045499999999998E-2</v>
      </c>
      <c r="M16" s="73">
        <v>3.5383799999999998E-5</v>
      </c>
      <c r="N16" s="73">
        <v>1</v>
      </c>
    </row>
    <row r="17" spans="1:14" x14ac:dyDescent="0.2">
      <c r="A17" s="72">
        <v>11</v>
      </c>
      <c r="B17" s="72" t="s">
        <v>215</v>
      </c>
      <c r="C17" s="72">
        <v>122862373</v>
      </c>
      <c r="D17" s="72" t="s">
        <v>8</v>
      </c>
      <c r="E17" s="72" t="s">
        <v>17</v>
      </c>
      <c r="F17" s="72">
        <v>15170</v>
      </c>
      <c r="G17" s="72">
        <v>7.8839800000000002E-2</v>
      </c>
      <c r="H17" s="72">
        <v>-56.310699999999997</v>
      </c>
      <c r="I17" s="72">
        <v>13.7677</v>
      </c>
      <c r="J17" s="72">
        <v>4.3128699999999999E-5</v>
      </c>
      <c r="K17" s="72">
        <v>-0.29707499999999998</v>
      </c>
      <c r="L17" s="72">
        <v>7.2415999999999994E-2</v>
      </c>
      <c r="M17" s="72">
        <v>4.0900599999999999E-5</v>
      </c>
      <c r="N17" s="72">
        <v>1</v>
      </c>
    </row>
    <row r="18" spans="1:14" x14ac:dyDescent="0.2">
      <c r="A18" s="73">
        <v>5</v>
      </c>
      <c r="B18" s="73" t="s">
        <v>216</v>
      </c>
      <c r="C18" s="73">
        <v>7851068</v>
      </c>
      <c r="D18" s="73" t="s">
        <v>8</v>
      </c>
      <c r="E18" s="73" t="s">
        <v>84</v>
      </c>
      <c r="F18" s="73">
        <v>15160</v>
      </c>
      <c r="G18" s="73">
        <v>6.4808699999999997E-2</v>
      </c>
      <c r="H18" s="73">
        <v>-49.2515</v>
      </c>
      <c r="I18" s="73">
        <v>12.2112</v>
      </c>
      <c r="J18" s="73">
        <v>5.4997000000000002E-5</v>
      </c>
      <c r="K18" s="73">
        <v>-0.33029599999999998</v>
      </c>
      <c r="L18" s="73">
        <v>8.0848699999999996E-2</v>
      </c>
      <c r="M18" s="73">
        <v>4.4008299999999997E-5</v>
      </c>
      <c r="N18" s="73">
        <v>1</v>
      </c>
    </row>
    <row r="19" spans="1:14" x14ac:dyDescent="0.2">
      <c r="A19" s="72">
        <v>22</v>
      </c>
      <c r="B19" s="72" t="s">
        <v>217</v>
      </c>
      <c r="C19" s="72">
        <v>31136974</v>
      </c>
      <c r="D19" s="72" t="s">
        <v>9</v>
      </c>
      <c r="E19" s="72" t="s">
        <v>84</v>
      </c>
      <c r="F19" s="72">
        <v>15173</v>
      </c>
      <c r="G19" s="72">
        <v>9.8925700000000005E-2</v>
      </c>
      <c r="H19" s="72">
        <v>58.734999999999999</v>
      </c>
      <c r="I19" s="72">
        <v>14.7422</v>
      </c>
      <c r="J19" s="72">
        <v>6.7726900000000004E-5</v>
      </c>
      <c r="K19" s="72">
        <v>0.27025300000000002</v>
      </c>
      <c r="L19" s="72">
        <v>6.6472400000000001E-2</v>
      </c>
      <c r="M19" s="72">
        <v>4.7899699999999998E-5</v>
      </c>
      <c r="N19" s="72">
        <v>1</v>
      </c>
    </row>
    <row r="20" spans="1:14" x14ac:dyDescent="0.2">
      <c r="A20" s="72">
        <v>1</v>
      </c>
      <c r="B20" s="72" t="s">
        <v>218</v>
      </c>
      <c r="C20" s="72">
        <v>24364186</v>
      </c>
      <c r="D20" s="72" t="s">
        <v>8</v>
      </c>
      <c r="E20" s="72" t="s">
        <v>17</v>
      </c>
      <c r="F20" s="72">
        <v>15173</v>
      </c>
      <c r="G20" s="72">
        <v>1.60153E-2</v>
      </c>
      <c r="H20" s="72">
        <v>-26.019100000000002</v>
      </c>
      <c r="I20" s="72">
        <v>6.2423299999999999</v>
      </c>
      <c r="J20" s="72">
        <v>3.07056E-5</v>
      </c>
      <c r="K20" s="72">
        <v>-0.66772600000000004</v>
      </c>
      <c r="L20" s="72">
        <v>0.164243</v>
      </c>
      <c r="M20" s="72">
        <v>4.7933199999999997E-5</v>
      </c>
      <c r="N20" s="72">
        <v>1</v>
      </c>
    </row>
    <row r="21" spans="1:14" x14ac:dyDescent="0.2">
      <c r="A21" s="72">
        <v>1</v>
      </c>
      <c r="B21" s="72" t="s">
        <v>219</v>
      </c>
      <c r="C21" s="72">
        <v>219610367</v>
      </c>
      <c r="D21" s="72" t="s">
        <v>8</v>
      </c>
      <c r="E21" s="72" t="s">
        <v>17</v>
      </c>
      <c r="F21" s="72">
        <v>14731</v>
      </c>
      <c r="G21" s="72">
        <v>0.28731899999999999</v>
      </c>
      <c r="H21" s="72">
        <v>-94.296899999999994</v>
      </c>
      <c r="I21" s="72">
        <v>23.217400000000001</v>
      </c>
      <c r="J21" s="72">
        <v>4.8761799999999998E-5</v>
      </c>
      <c r="K21" s="72">
        <v>-0.17493300000000001</v>
      </c>
      <c r="L21" s="72">
        <v>4.30561E-2</v>
      </c>
      <c r="M21" s="72">
        <v>4.8464100000000002E-5</v>
      </c>
      <c r="N21" s="72">
        <v>1</v>
      </c>
    </row>
    <row r="23" spans="1:14" x14ac:dyDescent="0.2">
      <c r="A23" s="67" t="s">
        <v>268</v>
      </c>
      <c r="B23" s="68"/>
      <c r="C23" s="68"/>
      <c r="D23" s="68"/>
      <c r="E23" s="68"/>
      <c r="F23" s="69"/>
    </row>
    <row r="24" spans="1:14" x14ac:dyDescent="0.2">
      <c r="A24" s="59" t="s">
        <v>68</v>
      </c>
      <c r="B24" s="60" t="s">
        <v>2</v>
      </c>
      <c r="C24" s="60" t="s">
        <v>3</v>
      </c>
      <c r="D24" s="60" t="s">
        <v>4</v>
      </c>
      <c r="E24" s="60" t="s">
        <v>189</v>
      </c>
      <c r="F24" s="60" t="s">
        <v>157</v>
      </c>
    </row>
    <row r="25" spans="1:14" x14ac:dyDescent="0.2">
      <c r="A25" s="61">
        <v>4</v>
      </c>
      <c r="B25" s="62" t="s">
        <v>7</v>
      </c>
      <c r="C25" s="62">
        <v>0.63145499999999999</v>
      </c>
      <c r="D25" s="62">
        <v>-0.236099</v>
      </c>
      <c r="E25" s="63">
        <v>3.5260800000000001E-14</v>
      </c>
      <c r="F25" s="62" t="s">
        <v>269</v>
      </c>
    </row>
    <row r="26" spans="1:14" x14ac:dyDescent="0.2">
      <c r="A26" s="64">
        <v>12</v>
      </c>
      <c r="B26" s="65" t="s">
        <v>40</v>
      </c>
      <c r="C26" s="65">
        <v>0.56760900000000003</v>
      </c>
      <c r="D26" s="65">
        <v>-0.177094</v>
      </c>
      <c r="E26" s="66">
        <v>1.28878E-7</v>
      </c>
      <c r="F26" s="62" t="s">
        <v>34</v>
      </c>
    </row>
    <row r="27" spans="1:14" x14ac:dyDescent="0.2">
      <c r="A27" s="64">
        <v>2</v>
      </c>
      <c r="B27" s="65" t="s">
        <v>20</v>
      </c>
      <c r="C27" s="65">
        <v>0.49497600000000003</v>
      </c>
      <c r="D27" s="65">
        <v>-0.18522</v>
      </c>
      <c r="E27" s="66">
        <v>1.58365E-7</v>
      </c>
      <c r="F27" s="62" t="s">
        <v>22</v>
      </c>
    </row>
    <row r="28" spans="1:14" x14ac:dyDescent="0.2">
      <c r="A28" s="64">
        <v>7</v>
      </c>
      <c r="B28" s="65" t="s">
        <v>45</v>
      </c>
      <c r="C28" s="65">
        <v>0.78700899999999996</v>
      </c>
      <c r="D28" s="65">
        <v>-0.19414000000000001</v>
      </c>
      <c r="E28" s="66">
        <v>3.9616000000000002E-7</v>
      </c>
      <c r="F28" s="62" t="s">
        <v>270</v>
      </c>
    </row>
    <row r="29" spans="1:14" x14ac:dyDescent="0.2">
      <c r="A29" s="64">
        <v>5</v>
      </c>
      <c r="B29" s="65" t="s">
        <v>62</v>
      </c>
      <c r="C29" s="65">
        <v>0.37716</v>
      </c>
      <c r="D29" s="65">
        <v>-0.31818299999999999</v>
      </c>
      <c r="E29" s="66">
        <v>1.5676E-6</v>
      </c>
      <c r="F29" s="62" t="s">
        <v>63</v>
      </c>
    </row>
    <row r="30" spans="1:14" x14ac:dyDescent="0.2">
      <c r="A30" s="64">
        <v>10</v>
      </c>
      <c r="B30" s="65" t="s">
        <v>24</v>
      </c>
      <c r="C30" s="65">
        <v>0.47953899999999999</v>
      </c>
      <c r="D30" s="65">
        <v>-0.155135</v>
      </c>
      <c r="E30" s="66">
        <v>6.0662399999999999E-6</v>
      </c>
      <c r="F30" s="62" t="s">
        <v>26</v>
      </c>
    </row>
    <row r="31" spans="1:14" x14ac:dyDescent="0.2">
      <c r="A31" s="64">
        <v>19</v>
      </c>
      <c r="B31" s="65" t="s">
        <v>212</v>
      </c>
      <c r="C31" s="65">
        <v>2.9097700000000001E-2</v>
      </c>
      <c r="D31" s="65">
        <v>0.54007899999999998</v>
      </c>
      <c r="E31" s="66">
        <v>1.1613100000000001E-5</v>
      </c>
      <c r="F31" s="62" t="s">
        <v>271</v>
      </c>
    </row>
    <row r="32" spans="1:14" x14ac:dyDescent="0.2">
      <c r="A32" s="64">
        <v>8</v>
      </c>
      <c r="B32" s="65" t="s">
        <v>53</v>
      </c>
      <c r="C32" s="65">
        <v>0.91100700000000001</v>
      </c>
      <c r="D32" s="65">
        <v>-0.22963</v>
      </c>
      <c r="E32" s="66">
        <v>1.28475E-5</v>
      </c>
      <c r="F32" s="62" t="s">
        <v>272</v>
      </c>
    </row>
    <row r="33" spans="1:6" x14ac:dyDescent="0.2">
      <c r="A33" s="64">
        <v>22</v>
      </c>
      <c r="B33" s="65" t="s">
        <v>213</v>
      </c>
      <c r="C33" s="65">
        <v>0.35206300000000001</v>
      </c>
      <c r="D33" s="65">
        <v>0.176895</v>
      </c>
      <c r="E33" s="66">
        <v>1.39938E-5</v>
      </c>
      <c r="F33" s="62" t="s">
        <v>273</v>
      </c>
    </row>
    <row r="34" spans="1:6" x14ac:dyDescent="0.2">
      <c r="A34" s="64">
        <v>22</v>
      </c>
      <c r="B34" s="65" t="s">
        <v>214</v>
      </c>
      <c r="C34" s="65">
        <v>0.18878900000000001</v>
      </c>
      <c r="D34" s="65">
        <v>0.19870299999999999</v>
      </c>
      <c r="E34" s="66">
        <v>3.5383799999999998E-5</v>
      </c>
      <c r="F34" s="62" t="s">
        <v>274</v>
      </c>
    </row>
    <row r="35" spans="1:6" x14ac:dyDescent="0.2">
      <c r="B35" s="18"/>
    </row>
    <row r="36" spans="1:6" x14ac:dyDescent="0.2">
      <c r="B36" s="18"/>
    </row>
    <row r="37" spans="1:6" x14ac:dyDescent="0.2">
      <c r="B37" s="18"/>
    </row>
    <row r="38" spans="1:6" x14ac:dyDescent="0.2">
      <c r="B38" s="18"/>
    </row>
    <row r="39" spans="1:6" x14ac:dyDescent="0.2">
      <c r="B39" s="18"/>
    </row>
  </sheetData>
  <mergeCells count="1">
    <mergeCell ref="A23:F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24334-5F9E-F14D-9F86-C22BAF3301B0}">
  <dimension ref="A1:N38"/>
  <sheetViews>
    <sheetView showGridLines="0" zoomScale="66" zoomScaleNormal="122" workbookViewId="0">
      <selection activeCell="I36" sqref="I36"/>
    </sheetView>
  </sheetViews>
  <sheetFormatPr baseColWidth="10" defaultRowHeight="16" x14ac:dyDescent="0.2"/>
  <cols>
    <col min="1" max="1" width="11" bestFit="1" customWidth="1"/>
    <col min="2" max="2" width="19.5" customWidth="1"/>
    <col min="3" max="6" width="10.83203125" customWidth="1"/>
    <col min="7" max="7" width="11" bestFit="1" customWidth="1"/>
    <col min="8" max="10" width="10.83203125" customWidth="1"/>
    <col min="11" max="11" width="11" bestFit="1" customWidth="1"/>
    <col min="12" max="12" width="10.83203125" customWidth="1"/>
    <col min="13" max="13" width="12.83203125" bestFit="1" customWidth="1"/>
    <col min="14" max="14" width="14.1640625" customWidth="1"/>
  </cols>
  <sheetData>
    <row r="1" spans="1:14" x14ac:dyDescent="0.2">
      <c r="A1" s="71" t="s">
        <v>68</v>
      </c>
      <c r="B1" s="71" t="s">
        <v>2</v>
      </c>
      <c r="C1" s="71" t="s">
        <v>69</v>
      </c>
      <c r="D1" s="71" t="s">
        <v>70</v>
      </c>
      <c r="E1" s="71" t="s">
        <v>71</v>
      </c>
      <c r="F1" s="71" t="s">
        <v>72</v>
      </c>
      <c r="G1" s="71" t="s">
        <v>3</v>
      </c>
      <c r="H1" s="71" t="s">
        <v>9</v>
      </c>
      <c r="I1" s="71" t="s">
        <v>73</v>
      </c>
      <c r="J1" s="71" t="s">
        <v>74</v>
      </c>
      <c r="K1" s="71" t="s">
        <v>4</v>
      </c>
      <c r="L1" s="71" t="s">
        <v>75</v>
      </c>
      <c r="M1" s="71" t="s">
        <v>5</v>
      </c>
      <c r="N1" s="71" t="s">
        <v>158</v>
      </c>
    </row>
    <row r="2" spans="1:14" x14ac:dyDescent="0.2">
      <c r="A2" s="72">
        <v>4</v>
      </c>
      <c r="B2" s="72" t="s">
        <v>7</v>
      </c>
      <c r="C2" s="72">
        <v>26672139</v>
      </c>
      <c r="D2" s="72" t="s">
        <v>8</v>
      </c>
      <c r="E2" s="72" t="s">
        <v>9</v>
      </c>
      <c r="F2" s="72">
        <v>21936</v>
      </c>
      <c r="G2" s="72">
        <v>0.61298799999999998</v>
      </c>
      <c r="H2" s="72">
        <v>-695.51800000000003</v>
      </c>
      <c r="I2" s="72">
        <v>66.890199999999993</v>
      </c>
      <c r="J2" s="72">
        <v>2.5343899999999999E-25</v>
      </c>
      <c r="K2" s="72">
        <v>-0.155447</v>
      </c>
      <c r="L2" s="72">
        <v>1.49327E-2</v>
      </c>
      <c r="M2" s="72">
        <v>2.2359399999999999E-25</v>
      </c>
      <c r="N2" s="72">
        <v>1</v>
      </c>
    </row>
    <row r="3" spans="1:14" x14ac:dyDescent="0.2">
      <c r="A3" s="72">
        <v>4</v>
      </c>
      <c r="B3" s="72" t="s">
        <v>16</v>
      </c>
      <c r="C3" s="72">
        <v>26672165</v>
      </c>
      <c r="D3" s="72" t="s">
        <v>17</v>
      </c>
      <c r="E3" s="72" t="s">
        <v>8</v>
      </c>
      <c r="F3" s="72">
        <v>22243</v>
      </c>
      <c r="G3" s="72">
        <v>0.63402000000000003</v>
      </c>
      <c r="H3" s="72">
        <v>-654.25599999999997</v>
      </c>
      <c r="I3" s="72">
        <v>66.717100000000002</v>
      </c>
      <c r="J3" s="72">
        <v>1.0565E-22</v>
      </c>
      <c r="K3" s="72">
        <v>-0.146985</v>
      </c>
      <c r="L3" s="72">
        <v>1.49712E-2</v>
      </c>
      <c r="M3" s="72">
        <v>9.4329599999999997E-23</v>
      </c>
      <c r="N3" s="72">
        <v>1</v>
      </c>
    </row>
    <row r="4" spans="1:14" x14ac:dyDescent="0.2">
      <c r="A4" s="72">
        <v>10</v>
      </c>
      <c r="B4" s="72" t="s">
        <v>24</v>
      </c>
      <c r="C4" s="72">
        <v>91935140</v>
      </c>
      <c r="D4" s="72" t="s">
        <v>9</v>
      </c>
      <c r="E4" s="72" t="s">
        <v>8</v>
      </c>
      <c r="F4" s="72">
        <v>22465</v>
      </c>
      <c r="G4" s="72">
        <v>0.46556900000000001</v>
      </c>
      <c r="H4" s="72">
        <v>-493.09800000000001</v>
      </c>
      <c r="I4" s="72">
        <v>59.887799999999999</v>
      </c>
      <c r="J4" s="72">
        <v>1.81518E-16</v>
      </c>
      <c r="K4" s="72">
        <v>-0.137485</v>
      </c>
      <c r="L4" s="72">
        <v>1.6679200000000002E-2</v>
      </c>
      <c r="M4" s="72">
        <v>1.6803400000000001E-16</v>
      </c>
      <c r="N4" s="72">
        <v>1</v>
      </c>
    </row>
    <row r="5" spans="1:14" x14ac:dyDescent="0.2">
      <c r="A5" s="72">
        <v>2</v>
      </c>
      <c r="B5" s="72" t="s">
        <v>20</v>
      </c>
      <c r="C5" s="72">
        <v>112015789</v>
      </c>
      <c r="D5" s="72" t="s">
        <v>17</v>
      </c>
      <c r="E5" s="72" t="s">
        <v>8</v>
      </c>
      <c r="F5" s="72">
        <v>22345</v>
      </c>
      <c r="G5" s="72">
        <v>0.48160700000000001</v>
      </c>
      <c r="H5" s="72">
        <v>-467.88</v>
      </c>
      <c r="I5" s="72">
        <v>58.2455</v>
      </c>
      <c r="J5" s="72">
        <v>9.5207199999999994E-16</v>
      </c>
      <c r="K5" s="72">
        <v>-0.13791400000000001</v>
      </c>
      <c r="L5" s="72">
        <v>1.7179300000000002E-2</v>
      </c>
      <c r="M5" s="72">
        <v>9.9115600000000005E-16</v>
      </c>
      <c r="N5" s="72">
        <v>1</v>
      </c>
    </row>
    <row r="6" spans="1:14" x14ac:dyDescent="0.2">
      <c r="A6" s="72">
        <v>12</v>
      </c>
      <c r="B6" s="72" t="s">
        <v>30</v>
      </c>
      <c r="C6" s="72">
        <v>25516252</v>
      </c>
      <c r="D6" s="72" t="s">
        <v>8</v>
      </c>
      <c r="E6" s="72" t="s">
        <v>17</v>
      </c>
      <c r="F6" s="72">
        <v>22578</v>
      </c>
      <c r="G6" s="72">
        <v>0.51127199999999995</v>
      </c>
      <c r="H6" s="72">
        <v>-477.05900000000003</v>
      </c>
      <c r="I6" s="72">
        <v>61.371600000000001</v>
      </c>
      <c r="J6" s="72">
        <v>7.6472799999999999E-15</v>
      </c>
      <c r="K6" s="72">
        <v>-0.12665899999999999</v>
      </c>
      <c r="L6" s="72">
        <v>1.62858E-2</v>
      </c>
      <c r="M6" s="72">
        <v>7.4081300000000007E-15</v>
      </c>
      <c r="N6" s="72">
        <v>1</v>
      </c>
    </row>
    <row r="7" spans="1:14" x14ac:dyDescent="0.2">
      <c r="A7" s="72">
        <v>12</v>
      </c>
      <c r="B7" s="72" t="s">
        <v>36</v>
      </c>
      <c r="C7" s="72">
        <v>25516266</v>
      </c>
      <c r="D7" s="72" t="s">
        <v>17</v>
      </c>
      <c r="E7" s="72" t="s">
        <v>9</v>
      </c>
      <c r="F7" s="72">
        <v>22303</v>
      </c>
      <c r="G7" s="72">
        <v>0.538493</v>
      </c>
      <c r="H7" s="72">
        <v>-476.77499999999998</v>
      </c>
      <c r="I7" s="72">
        <v>62.149799999999999</v>
      </c>
      <c r="J7" s="72">
        <v>1.7014199999999999E-14</v>
      </c>
      <c r="K7" s="72">
        <v>-0.123434</v>
      </c>
      <c r="L7" s="72">
        <v>1.60766E-2</v>
      </c>
      <c r="M7" s="72">
        <v>1.6178400000000001E-14</v>
      </c>
      <c r="N7" s="72">
        <v>1</v>
      </c>
    </row>
    <row r="8" spans="1:14" x14ac:dyDescent="0.2">
      <c r="A8" s="72">
        <v>10</v>
      </c>
      <c r="B8" s="72" t="s">
        <v>41</v>
      </c>
      <c r="C8" s="72">
        <v>91935136</v>
      </c>
      <c r="D8" s="72" t="s">
        <v>9</v>
      </c>
      <c r="E8" s="72" t="s">
        <v>8</v>
      </c>
      <c r="F8" s="72">
        <v>22572</v>
      </c>
      <c r="G8" s="72">
        <v>0.34312399999999998</v>
      </c>
      <c r="H8" s="72">
        <v>-412.42099999999999</v>
      </c>
      <c r="I8" s="72">
        <v>54.988399999999999</v>
      </c>
      <c r="J8" s="72">
        <v>6.3741699999999998E-14</v>
      </c>
      <c r="K8" s="72">
        <v>-0.13639499999999999</v>
      </c>
      <c r="L8" s="72">
        <v>1.80891E-2</v>
      </c>
      <c r="M8" s="72">
        <v>4.6924500000000001E-14</v>
      </c>
      <c r="N8" s="72">
        <v>1</v>
      </c>
    </row>
    <row r="9" spans="1:14" x14ac:dyDescent="0.2">
      <c r="A9" s="72">
        <v>12</v>
      </c>
      <c r="B9" s="72" t="s">
        <v>42</v>
      </c>
      <c r="C9" s="72">
        <v>25516226</v>
      </c>
      <c r="D9" s="72" t="s">
        <v>17</v>
      </c>
      <c r="E9" s="72" t="s">
        <v>84</v>
      </c>
      <c r="F9" s="72">
        <v>22453</v>
      </c>
      <c r="G9" s="72">
        <v>0.55277699999999996</v>
      </c>
      <c r="H9" s="72">
        <v>-451.89400000000001</v>
      </c>
      <c r="I9" s="72">
        <v>62.297499999999999</v>
      </c>
      <c r="J9" s="72">
        <v>4.0522599999999999E-13</v>
      </c>
      <c r="K9" s="72">
        <v>-0.116438</v>
      </c>
      <c r="L9" s="72">
        <v>1.60403E-2</v>
      </c>
      <c r="M9" s="72">
        <v>3.8967199999999999E-13</v>
      </c>
      <c r="N9" s="72">
        <v>1</v>
      </c>
    </row>
    <row r="10" spans="1:14" x14ac:dyDescent="0.2">
      <c r="A10" s="72">
        <v>12</v>
      </c>
      <c r="B10" s="72" t="s">
        <v>40</v>
      </c>
      <c r="C10" s="72">
        <v>25516165</v>
      </c>
      <c r="D10" s="72" t="s">
        <v>8</v>
      </c>
      <c r="E10" s="72" t="s">
        <v>17</v>
      </c>
      <c r="F10" s="72">
        <v>22520</v>
      </c>
      <c r="G10" s="72">
        <v>0.55777100000000002</v>
      </c>
      <c r="H10" s="72">
        <v>-433.00599999999997</v>
      </c>
      <c r="I10" s="72">
        <v>61.551699999999997</v>
      </c>
      <c r="J10" s="72">
        <v>1.9950200000000001E-12</v>
      </c>
      <c r="K10" s="72">
        <v>-0.114291</v>
      </c>
      <c r="L10" s="72">
        <v>1.62355E-2</v>
      </c>
      <c r="M10" s="72">
        <v>1.9278699999999999E-12</v>
      </c>
      <c r="N10" s="72">
        <v>1</v>
      </c>
    </row>
    <row r="11" spans="1:14" x14ac:dyDescent="0.2">
      <c r="A11" s="72">
        <v>7</v>
      </c>
      <c r="B11" s="72" t="s">
        <v>45</v>
      </c>
      <c r="C11" s="72">
        <v>77406075</v>
      </c>
      <c r="D11" s="72" t="s">
        <v>84</v>
      </c>
      <c r="E11" s="72" t="s">
        <v>9</v>
      </c>
      <c r="F11" s="72">
        <v>22373</v>
      </c>
      <c r="G11" s="72">
        <v>0.77727599999999997</v>
      </c>
      <c r="H11" s="72">
        <v>-384.25</v>
      </c>
      <c r="I11" s="72">
        <v>55.107300000000002</v>
      </c>
      <c r="J11" s="72">
        <v>3.10765E-12</v>
      </c>
      <c r="K11" s="72">
        <v>-0.126531</v>
      </c>
      <c r="L11" s="72">
        <v>1.8160699999999998E-2</v>
      </c>
      <c r="M11" s="72">
        <v>3.2312399999999999E-12</v>
      </c>
      <c r="N11" s="72">
        <v>1</v>
      </c>
    </row>
    <row r="12" spans="1:14" x14ac:dyDescent="0.2">
      <c r="A12" s="72">
        <v>6</v>
      </c>
      <c r="B12" s="72" t="s">
        <v>46</v>
      </c>
      <c r="C12" s="72">
        <v>144725786</v>
      </c>
      <c r="D12" s="72" t="s">
        <v>84</v>
      </c>
      <c r="E12" s="72" t="s">
        <v>9</v>
      </c>
      <c r="F12" s="72">
        <v>22243</v>
      </c>
      <c r="G12" s="72">
        <v>0.50591200000000003</v>
      </c>
      <c r="H12" s="72">
        <v>-410.49599999999998</v>
      </c>
      <c r="I12" s="72">
        <v>60.349699999999999</v>
      </c>
      <c r="J12" s="72">
        <v>1.03206E-11</v>
      </c>
      <c r="K12" s="72">
        <v>-0.112709</v>
      </c>
      <c r="L12" s="72">
        <v>1.6177799999999999E-2</v>
      </c>
      <c r="M12" s="72">
        <v>3.2402500000000001E-12</v>
      </c>
      <c r="N12" s="72">
        <v>1</v>
      </c>
    </row>
    <row r="13" spans="1:14" x14ac:dyDescent="0.2">
      <c r="A13" s="72">
        <v>12</v>
      </c>
      <c r="B13" s="72" t="s">
        <v>48</v>
      </c>
      <c r="C13" s="72">
        <v>44913850</v>
      </c>
      <c r="D13" s="72" t="s">
        <v>84</v>
      </c>
      <c r="E13" s="72" t="s">
        <v>9</v>
      </c>
      <c r="F13" s="72">
        <v>22524</v>
      </c>
      <c r="G13" s="72">
        <v>0.47928900000000002</v>
      </c>
      <c r="H13" s="72">
        <v>-333.03100000000001</v>
      </c>
      <c r="I13" s="72">
        <v>57.472700000000003</v>
      </c>
      <c r="J13" s="72">
        <v>6.8482399999999999E-9</v>
      </c>
      <c r="K13" s="72">
        <v>-0.100824</v>
      </c>
      <c r="L13" s="72">
        <v>1.6960900000000001E-2</v>
      </c>
      <c r="M13" s="72">
        <v>2.7732200000000001E-9</v>
      </c>
      <c r="N13" s="72">
        <v>1</v>
      </c>
    </row>
    <row r="14" spans="1:14" x14ac:dyDescent="0.2">
      <c r="A14" s="72">
        <v>8</v>
      </c>
      <c r="B14" s="72" t="s">
        <v>53</v>
      </c>
      <c r="C14" s="72">
        <v>28058313</v>
      </c>
      <c r="D14" s="72" t="s">
        <v>84</v>
      </c>
      <c r="E14" s="72" t="s">
        <v>9</v>
      </c>
      <c r="F14" s="72">
        <v>22580</v>
      </c>
      <c r="G14" s="72">
        <v>0.90615599999999996</v>
      </c>
      <c r="H14" s="72">
        <v>-214.66300000000001</v>
      </c>
      <c r="I14" s="72">
        <v>40.695500000000003</v>
      </c>
      <c r="J14" s="72">
        <v>1.3286499999999999E-7</v>
      </c>
      <c r="K14" s="72">
        <v>-0.12961800000000001</v>
      </c>
      <c r="L14" s="72">
        <v>2.4599699999999999E-2</v>
      </c>
      <c r="M14" s="72">
        <v>1.3711499999999999E-7</v>
      </c>
      <c r="N14" s="72">
        <v>1</v>
      </c>
    </row>
    <row r="15" spans="1:14" x14ac:dyDescent="0.2">
      <c r="A15" s="72">
        <v>23</v>
      </c>
      <c r="B15" s="72" t="s">
        <v>55</v>
      </c>
      <c r="C15" s="72">
        <v>83869794</v>
      </c>
      <c r="D15" s="72" t="s">
        <v>9</v>
      </c>
      <c r="E15" s="72" t="s">
        <v>8</v>
      </c>
      <c r="F15" s="72">
        <v>22582</v>
      </c>
      <c r="G15" s="72">
        <v>0.91617199999999999</v>
      </c>
      <c r="H15" s="72">
        <v>-193.221</v>
      </c>
      <c r="I15" s="72">
        <v>38.594000000000001</v>
      </c>
      <c r="J15" s="72">
        <v>5.5425499999999996E-7</v>
      </c>
      <c r="K15" s="72">
        <v>-0.129723</v>
      </c>
      <c r="L15" s="72">
        <v>2.5941100000000002E-2</v>
      </c>
      <c r="M15" s="72">
        <v>5.7135800000000005E-7</v>
      </c>
      <c r="N15" s="72">
        <v>1</v>
      </c>
    </row>
    <row r="16" spans="1:14" x14ac:dyDescent="0.2">
      <c r="A16" s="73">
        <v>16</v>
      </c>
      <c r="B16" s="73" t="s">
        <v>50</v>
      </c>
      <c r="C16" s="73">
        <v>275943</v>
      </c>
      <c r="D16" s="73" t="s">
        <v>96</v>
      </c>
      <c r="E16" s="73" t="s">
        <v>8</v>
      </c>
      <c r="F16" s="73">
        <v>23547</v>
      </c>
      <c r="G16" s="73">
        <v>0.87346599999999996</v>
      </c>
      <c r="H16" s="73">
        <v>-156.06200000000001</v>
      </c>
      <c r="I16" s="73">
        <v>31.369199999999999</v>
      </c>
      <c r="J16" s="73">
        <v>6.5239300000000001E-7</v>
      </c>
      <c r="K16" s="73">
        <v>-0.15859599999999999</v>
      </c>
      <c r="L16" s="73">
        <v>3.1815900000000001E-2</v>
      </c>
      <c r="M16" s="73">
        <v>6.2026200000000003E-7</v>
      </c>
      <c r="N16" s="73">
        <v>1</v>
      </c>
    </row>
    <row r="17" spans="1:14" x14ac:dyDescent="0.2">
      <c r="A17" s="72">
        <v>11</v>
      </c>
      <c r="B17" s="72" t="s">
        <v>59</v>
      </c>
      <c r="C17" s="72">
        <v>101050934</v>
      </c>
      <c r="D17" s="72" t="s">
        <v>8</v>
      </c>
      <c r="E17" s="72" t="s">
        <v>84</v>
      </c>
      <c r="F17" s="72">
        <v>22634</v>
      </c>
      <c r="G17" s="72">
        <v>0.137713</v>
      </c>
      <c r="H17" s="72">
        <v>-191.77799999999999</v>
      </c>
      <c r="I17" s="72">
        <v>38.798499999999997</v>
      </c>
      <c r="J17" s="72">
        <v>7.6963100000000002E-7</v>
      </c>
      <c r="K17" s="72">
        <v>-0.12740000000000001</v>
      </c>
      <c r="L17" s="72">
        <v>2.5784899999999999E-2</v>
      </c>
      <c r="M17" s="72">
        <v>7.7780100000000002E-7</v>
      </c>
      <c r="N17" s="72">
        <v>1</v>
      </c>
    </row>
    <row r="18" spans="1:14" x14ac:dyDescent="0.2">
      <c r="A18" s="73">
        <v>6</v>
      </c>
      <c r="B18" s="73" t="s">
        <v>114</v>
      </c>
      <c r="C18" s="73">
        <v>123273365</v>
      </c>
      <c r="D18" s="73" t="s">
        <v>115</v>
      </c>
      <c r="E18" s="73" t="s">
        <v>9</v>
      </c>
      <c r="F18" s="73">
        <v>22729</v>
      </c>
      <c r="G18" s="73">
        <v>0.18643599999999999</v>
      </c>
      <c r="H18" s="73">
        <v>-202.44</v>
      </c>
      <c r="I18" s="73">
        <v>41.454900000000002</v>
      </c>
      <c r="J18" s="73">
        <v>1.0428899999999999E-6</v>
      </c>
      <c r="K18" s="73">
        <v>-0.1178</v>
      </c>
      <c r="L18" s="73">
        <v>2.4104899999999999E-2</v>
      </c>
      <c r="M18" s="73">
        <v>1.02405E-6</v>
      </c>
      <c r="N18" s="73">
        <v>1</v>
      </c>
    </row>
    <row r="19" spans="1:14" x14ac:dyDescent="0.2">
      <c r="A19" s="72">
        <v>4</v>
      </c>
      <c r="B19" s="72" t="s">
        <v>64</v>
      </c>
      <c r="C19" s="72">
        <v>98106033</v>
      </c>
      <c r="D19" s="72" t="s">
        <v>84</v>
      </c>
      <c r="E19" s="72" t="s">
        <v>9</v>
      </c>
      <c r="F19" s="72">
        <v>23805</v>
      </c>
      <c r="G19" s="72">
        <v>0.17704300000000001</v>
      </c>
      <c r="H19" s="72">
        <v>-189.494</v>
      </c>
      <c r="I19" s="72">
        <v>40.455599999999997</v>
      </c>
      <c r="J19" s="72">
        <v>2.8133700000000001E-6</v>
      </c>
      <c r="K19" s="72">
        <v>-0.115781</v>
      </c>
      <c r="L19" s="72">
        <v>2.4167000000000001E-2</v>
      </c>
      <c r="M19" s="72">
        <v>1.66056E-6</v>
      </c>
      <c r="N19" s="72">
        <v>1</v>
      </c>
    </row>
    <row r="20" spans="1:14" x14ac:dyDescent="0.2">
      <c r="A20" s="72">
        <v>12</v>
      </c>
      <c r="B20" s="72" t="s">
        <v>43</v>
      </c>
      <c r="C20" s="72">
        <v>123410716</v>
      </c>
      <c r="D20" s="72" t="s">
        <v>9</v>
      </c>
      <c r="E20" s="72" t="s">
        <v>8</v>
      </c>
      <c r="F20" s="72">
        <v>22188</v>
      </c>
      <c r="G20" s="72">
        <v>0.110398</v>
      </c>
      <c r="H20" s="72">
        <v>-153.32499999999999</v>
      </c>
      <c r="I20" s="72">
        <v>32.342500000000001</v>
      </c>
      <c r="J20" s="72">
        <v>2.1302899999999999E-6</v>
      </c>
      <c r="K20" s="72">
        <v>-0.14657600000000001</v>
      </c>
      <c r="L20" s="72">
        <v>3.0933700000000001E-2</v>
      </c>
      <c r="M20" s="72">
        <v>2.1541299999999998E-6</v>
      </c>
      <c r="N20" s="72">
        <v>1</v>
      </c>
    </row>
    <row r="21" spans="1:14" x14ac:dyDescent="0.2">
      <c r="A21" s="72">
        <v>1</v>
      </c>
      <c r="B21" s="72" t="s">
        <v>61</v>
      </c>
      <c r="C21" s="72">
        <v>180274605</v>
      </c>
      <c r="D21" s="72" t="s">
        <v>9</v>
      </c>
      <c r="E21" s="72" t="s">
        <v>84</v>
      </c>
      <c r="F21" s="72">
        <v>24103</v>
      </c>
      <c r="G21" s="72">
        <v>0.15023</v>
      </c>
      <c r="H21" s="72">
        <v>-169.84200000000001</v>
      </c>
      <c r="I21" s="72">
        <v>37.120899999999999</v>
      </c>
      <c r="J21" s="72">
        <v>4.7538899999999996E-6</v>
      </c>
      <c r="K21" s="72">
        <v>-0.123256</v>
      </c>
      <c r="L21" s="72">
        <v>2.6523100000000001E-2</v>
      </c>
      <c r="M21" s="72">
        <v>3.3661599999999998E-6</v>
      </c>
      <c r="N21" s="72">
        <v>1</v>
      </c>
    </row>
    <row r="23" spans="1:14" x14ac:dyDescent="0.2">
      <c r="A23" s="67" t="s">
        <v>278</v>
      </c>
      <c r="B23" s="68"/>
      <c r="C23" s="68"/>
      <c r="D23" s="68"/>
      <c r="E23" s="68"/>
      <c r="F23" s="69"/>
    </row>
    <row r="24" spans="1:14" x14ac:dyDescent="0.2">
      <c r="A24" s="59" t="s">
        <v>68</v>
      </c>
      <c r="B24" s="60" t="s">
        <v>2</v>
      </c>
      <c r="C24" s="60" t="s">
        <v>3</v>
      </c>
      <c r="D24" s="60" t="s">
        <v>4</v>
      </c>
      <c r="E24" s="60" t="s">
        <v>189</v>
      </c>
      <c r="F24" s="60" t="s">
        <v>157</v>
      </c>
    </row>
    <row r="25" spans="1:14" x14ac:dyDescent="0.2">
      <c r="A25" s="61">
        <v>4</v>
      </c>
      <c r="B25" s="62" t="s">
        <v>7</v>
      </c>
      <c r="C25" s="62">
        <v>0.61298799999999998</v>
      </c>
      <c r="D25" s="62">
        <v>-0.155447</v>
      </c>
      <c r="E25" s="63">
        <v>2.2359399999999999E-25</v>
      </c>
      <c r="F25" s="62" t="s">
        <v>14</v>
      </c>
    </row>
    <row r="26" spans="1:14" x14ac:dyDescent="0.2">
      <c r="A26" s="64">
        <v>10</v>
      </c>
      <c r="B26" s="65" t="s">
        <v>24</v>
      </c>
      <c r="C26" s="65">
        <v>0.46556900000000001</v>
      </c>
      <c r="D26" s="65">
        <v>-0.137485</v>
      </c>
      <c r="E26" s="66">
        <v>1.6803400000000001E-16</v>
      </c>
      <c r="F26" s="62" t="s">
        <v>275</v>
      </c>
    </row>
    <row r="27" spans="1:14" x14ac:dyDescent="0.2">
      <c r="A27" s="64">
        <v>2</v>
      </c>
      <c r="B27" s="65" t="s">
        <v>20</v>
      </c>
      <c r="C27" s="65">
        <v>0.48160700000000001</v>
      </c>
      <c r="D27" s="65">
        <v>-0.13791400000000001</v>
      </c>
      <c r="E27" s="66">
        <v>9.9115600000000005E-16</v>
      </c>
      <c r="F27" s="62" t="s">
        <v>276</v>
      </c>
    </row>
    <row r="28" spans="1:14" x14ac:dyDescent="0.2">
      <c r="A28" s="64">
        <v>12</v>
      </c>
      <c r="B28" s="65" t="s">
        <v>30</v>
      </c>
      <c r="C28" s="65">
        <v>0.51127199999999995</v>
      </c>
      <c r="D28" s="65">
        <v>-0.12665899999999999</v>
      </c>
      <c r="E28" s="66">
        <v>7.4081300000000007E-15</v>
      </c>
      <c r="F28" s="62" t="s">
        <v>34</v>
      </c>
    </row>
    <row r="29" spans="1:14" x14ac:dyDescent="0.2">
      <c r="A29" s="64">
        <v>7</v>
      </c>
      <c r="B29" s="65" t="s">
        <v>45</v>
      </c>
      <c r="C29" s="65">
        <v>0.77727599999999997</v>
      </c>
      <c r="D29" s="65">
        <v>-0.126531</v>
      </c>
      <c r="E29" s="66">
        <v>3.2312399999999999E-12</v>
      </c>
      <c r="F29" s="62" t="s">
        <v>44</v>
      </c>
    </row>
    <row r="30" spans="1:14" x14ac:dyDescent="0.2">
      <c r="A30" s="64">
        <v>6</v>
      </c>
      <c r="B30" s="65" t="s">
        <v>46</v>
      </c>
      <c r="C30" s="65">
        <v>0.50591200000000003</v>
      </c>
      <c r="D30" s="65">
        <v>-0.112709</v>
      </c>
      <c r="E30" s="66">
        <v>3.2402500000000001E-12</v>
      </c>
      <c r="F30" s="62" t="s">
        <v>47</v>
      </c>
    </row>
    <row r="31" spans="1:14" x14ac:dyDescent="0.2">
      <c r="A31" s="64">
        <v>12</v>
      </c>
      <c r="B31" s="65" t="s">
        <v>48</v>
      </c>
      <c r="C31" s="65">
        <v>0.47928900000000002</v>
      </c>
      <c r="D31" s="65">
        <v>-0.100824</v>
      </c>
      <c r="E31" s="66">
        <v>2.7732200000000001E-9</v>
      </c>
      <c r="F31" s="62" t="s">
        <v>49</v>
      </c>
    </row>
    <row r="32" spans="1:14" x14ac:dyDescent="0.2">
      <c r="A32" s="64">
        <v>8</v>
      </c>
      <c r="B32" s="65" t="s">
        <v>53</v>
      </c>
      <c r="C32" s="65">
        <v>0.90615599999999996</v>
      </c>
      <c r="D32" s="65">
        <v>-0.12961800000000001</v>
      </c>
      <c r="E32" s="66">
        <v>1.3711499999999999E-7</v>
      </c>
      <c r="F32" s="62" t="s">
        <v>272</v>
      </c>
    </row>
    <row r="33" spans="1:6" x14ac:dyDescent="0.2">
      <c r="A33" s="64">
        <v>23</v>
      </c>
      <c r="B33" s="65" t="s">
        <v>55</v>
      </c>
      <c r="C33" s="65">
        <v>0.91617199999999999</v>
      </c>
      <c r="D33" s="65">
        <v>-0.129723</v>
      </c>
      <c r="E33" s="66">
        <v>5.7135800000000005E-7</v>
      </c>
      <c r="F33" s="62" t="s">
        <v>277</v>
      </c>
    </row>
    <row r="34" spans="1:6" x14ac:dyDescent="0.2">
      <c r="A34" s="64">
        <v>16</v>
      </c>
      <c r="B34" s="65" t="s">
        <v>50</v>
      </c>
      <c r="C34" s="65">
        <v>0.87346599999999996</v>
      </c>
      <c r="D34" s="65">
        <v>-0.15859599999999999</v>
      </c>
      <c r="E34" s="66">
        <v>6.2026200000000003E-7</v>
      </c>
      <c r="F34" s="62" t="s">
        <v>51</v>
      </c>
    </row>
    <row r="35" spans="1:6" x14ac:dyDescent="0.2">
      <c r="B35" s="18"/>
    </row>
    <row r="36" spans="1:6" x14ac:dyDescent="0.2">
      <c r="B36" s="18"/>
    </row>
    <row r="37" spans="1:6" x14ac:dyDescent="0.2">
      <c r="B37" s="18"/>
    </row>
    <row r="38" spans="1:6" x14ac:dyDescent="0.2">
      <c r="B38" s="18"/>
    </row>
  </sheetData>
  <mergeCells count="1">
    <mergeCell ref="A23:F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8E078-67BA-6B4F-81EE-C0BA3870BE08}">
  <dimension ref="A1:P36"/>
  <sheetViews>
    <sheetView showGridLines="0" zoomScale="75" workbookViewId="0">
      <selection activeCell="I36" sqref="I36"/>
    </sheetView>
  </sheetViews>
  <sheetFormatPr baseColWidth="10" defaultRowHeight="16" x14ac:dyDescent="0.2"/>
  <cols>
    <col min="2" max="2" width="16.33203125" customWidth="1"/>
    <col min="3" max="3" width="17.5" customWidth="1"/>
    <col min="4" max="6" width="10.83203125" customWidth="1"/>
    <col min="8" max="10" width="10.83203125" customWidth="1"/>
    <col min="12" max="12" width="10.83203125" customWidth="1"/>
  </cols>
  <sheetData>
    <row r="1" spans="1:16" x14ac:dyDescent="0.2">
      <c r="A1" s="71" t="s">
        <v>68</v>
      </c>
      <c r="B1" s="71" t="s">
        <v>2</v>
      </c>
      <c r="C1" s="71" t="s">
        <v>69</v>
      </c>
      <c r="D1" s="71" t="s">
        <v>70</v>
      </c>
      <c r="E1" s="71" t="s">
        <v>71</v>
      </c>
      <c r="F1" s="71" t="s">
        <v>72</v>
      </c>
      <c r="G1" s="71" t="s">
        <v>3</v>
      </c>
      <c r="H1" s="71" t="s">
        <v>9</v>
      </c>
      <c r="I1" s="71" t="s">
        <v>73</v>
      </c>
      <c r="J1" s="71" t="s">
        <v>74</v>
      </c>
      <c r="K1" s="71" t="s">
        <v>4</v>
      </c>
      <c r="L1" s="71" t="s">
        <v>75</v>
      </c>
      <c r="M1" s="71" t="s">
        <v>5</v>
      </c>
      <c r="N1" s="71" t="s">
        <v>158</v>
      </c>
    </row>
    <row r="2" spans="1:16" x14ac:dyDescent="0.2">
      <c r="A2" s="72">
        <v>4</v>
      </c>
      <c r="B2" s="72" t="s">
        <v>7</v>
      </c>
      <c r="C2" s="72">
        <v>26672139</v>
      </c>
      <c r="D2" s="72" t="s">
        <v>8</v>
      </c>
      <c r="E2" s="72" t="s">
        <v>9</v>
      </c>
      <c r="F2" s="72">
        <v>19829</v>
      </c>
      <c r="G2" s="72">
        <v>0.61299099999999995</v>
      </c>
      <c r="H2" s="72">
        <v>-701.69299999999998</v>
      </c>
      <c r="I2" s="72">
        <v>64.997699999999995</v>
      </c>
      <c r="J2" s="72">
        <v>3.6085899999999998E-27</v>
      </c>
      <c r="K2" s="72">
        <v>-0.16609299999999999</v>
      </c>
      <c r="L2" s="72">
        <v>1.53574E-2</v>
      </c>
      <c r="M2" s="72">
        <v>2.9184800000000001E-27</v>
      </c>
      <c r="N2" s="72">
        <v>1</v>
      </c>
    </row>
    <row r="3" spans="1:16" x14ac:dyDescent="0.2">
      <c r="A3" s="72">
        <v>4</v>
      </c>
      <c r="B3" s="72" t="s">
        <v>16</v>
      </c>
      <c r="C3" s="72">
        <v>26672165</v>
      </c>
      <c r="D3" s="72" t="s">
        <v>17</v>
      </c>
      <c r="E3" s="72" t="s">
        <v>8</v>
      </c>
      <c r="F3" s="72">
        <v>20109</v>
      </c>
      <c r="G3" s="72">
        <v>0.63436800000000004</v>
      </c>
      <c r="H3" s="72">
        <v>-666.548</v>
      </c>
      <c r="I3" s="72">
        <v>64.809100000000001</v>
      </c>
      <c r="J3" s="72">
        <v>8.2519000000000002E-25</v>
      </c>
      <c r="K3" s="72">
        <v>-0.158694</v>
      </c>
      <c r="L3" s="72">
        <v>1.5402900000000001E-2</v>
      </c>
      <c r="M3" s="72">
        <v>6.8397299999999996E-25</v>
      </c>
      <c r="N3" s="72">
        <v>1</v>
      </c>
      <c r="P3" s="18"/>
    </row>
    <row r="4" spans="1:16" x14ac:dyDescent="0.2">
      <c r="A4" s="72">
        <v>2</v>
      </c>
      <c r="B4" s="72" t="s">
        <v>20</v>
      </c>
      <c r="C4" s="72">
        <v>112015789</v>
      </c>
      <c r="D4" s="72" t="s">
        <v>17</v>
      </c>
      <c r="E4" s="72" t="s">
        <v>8</v>
      </c>
      <c r="F4" s="72">
        <v>20244</v>
      </c>
      <c r="G4" s="72">
        <v>0.48229100000000003</v>
      </c>
      <c r="H4" s="72">
        <v>-477.815</v>
      </c>
      <c r="I4" s="72">
        <v>56.657200000000003</v>
      </c>
      <c r="J4" s="72">
        <v>3.3563999999999998E-17</v>
      </c>
      <c r="K4" s="72">
        <v>-0.14885000000000001</v>
      </c>
      <c r="L4" s="72">
        <v>1.7650699999999998E-2</v>
      </c>
      <c r="M4" s="72">
        <v>3.3662099999999999E-17</v>
      </c>
      <c r="N4" s="72">
        <v>1</v>
      </c>
      <c r="P4" s="18"/>
    </row>
    <row r="5" spans="1:16" x14ac:dyDescent="0.2">
      <c r="A5" s="72">
        <v>10</v>
      </c>
      <c r="B5" s="72" t="s">
        <v>24</v>
      </c>
      <c r="C5" s="72">
        <v>91935140</v>
      </c>
      <c r="D5" s="72" t="s">
        <v>9</v>
      </c>
      <c r="E5" s="72" t="s">
        <v>8</v>
      </c>
      <c r="F5" s="72">
        <v>20330</v>
      </c>
      <c r="G5" s="72">
        <v>0.46512500000000001</v>
      </c>
      <c r="H5" s="72">
        <v>-488.62200000000001</v>
      </c>
      <c r="I5" s="72">
        <v>58.167499999999997</v>
      </c>
      <c r="J5" s="72">
        <v>4.4553200000000001E-17</v>
      </c>
      <c r="K5" s="72">
        <v>-0.14441499999999999</v>
      </c>
      <c r="L5" s="72">
        <v>1.7161599999999999E-2</v>
      </c>
      <c r="M5" s="72">
        <v>3.92863E-17</v>
      </c>
      <c r="N5" s="72">
        <v>1</v>
      </c>
      <c r="P5" s="18"/>
    </row>
    <row r="6" spans="1:16" x14ac:dyDescent="0.2">
      <c r="A6" s="72">
        <v>12</v>
      </c>
      <c r="B6" s="72" t="s">
        <v>30</v>
      </c>
      <c r="C6" s="72">
        <v>25516252</v>
      </c>
      <c r="D6" s="72" t="s">
        <v>8</v>
      </c>
      <c r="E6" s="72" t="s">
        <v>17</v>
      </c>
      <c r="F6" s="72">
        <v>20429</v>
      </c>
      <c r="G6" s="72">
        <v>0.51123399999999997</v>
      </c>
      <c r="H6" s="72">
        <v>-477.21699999999998</v>
      </c>
      <c r="I6" s="72">
        <v>59.594900000000003</v>
      </c>
      <c r="J6" s="72">
        <v>1.16888E-15</v>
      </c>
      <c r="K6" s="72">
        <v>-0.13436899999999999</v>
      </c>
      <c r="L6" s="72">
        <v>1.6766099999999999E-2</v>
      </c>
      <c r="M6" s="72">
        <v>1.1076000000000001E-15</v>
      </c>
      <c r="N6" s="72">
        <v>1</v>
      </c>
      <c r="P6" s="18"/>
    </row>
    <row r="7" spans="1:16" x14ac:dyDescent="0.2">
      <c r="A7" s="72">
        <v>12</v>
      </c>
      <c r="B7" s="72" t="s">
        <v>36</v>
      </c>
      <c r="C7" s="72">
        <v>25516266</v>
      </c>
      <c r="D7" s="72" t="s">
        <v>17</v>
      </c>
      <c r="E7" s="72" t="s">
        <v>9</v>
      </c>
      <c r="F7" s="72">
        <v>20179</v>
      </c>
      <c r="G7" s="72">
        <v>0.53800999999999999</v>
      </c>
      <c r="H7" s="72">
        <v>-472.90600000000001</v>
      </c>
      <c r="I7" s="72">
        <v>60.380400000000002</v>
      </c>
      <c r="J7" s="72">
        <v>4.7970999999999998E-15</v>
      </c>
      <c r="K7" s="72">
        <v>-0.12971299999999999</v>
      </c>
      <c r="L7" s="72">
        <v>1.65451E-2</v>
      </c>
      <c r="M7" s="72">
        <v>4.5062699999999998E-15</v>
      </c>
      <c r="N7" s="72">
        <v>1</v>
      </c>
      <c r="P7" s="18"/>
    </row>
    <row r="8" spans="1:16" x14ac:dyDescent="0.2">
      <c r="A8" s="72">
        <v>10</v>
      </c>
      <c r="B8" s="72" t="s">
        <v>41</v>
      </c>
      <c r="C8" s="72">
        <v>91935136</v>
      </c>
      <c r="D8" s="72" t="s">
        <v>9</v>
      </c>
      <c r="E8" s="72" t="s">
        <v>8</v>
      </c>
      <c r="F8" s="72">
        <v>20415</v>
      </c>
      <c r="G8" s="72">
        <v>0.34246900000000002</v>
      </c>
      <c r="H8" s="72">
        <v>-398.95400000000001</v>
      </c>
      <c r="I8" s="72">
        <v>53.369199999999999</v>
      </c>
      <c r="J8" s="72">
        <v>7.6989699999999999E-14</v>
      </c>
      <c r="K8" s="72">
        <v>-0.140069</v>
      </c>
      <c r="L8" s="72">
        <v>1.8626400000000001E-2</v>
      </c>
      <c r="M8" s="72">
        <v>5.4806099999999997E-14</v>
      </c>
      <c r="N8" s="72">
        <v>1</v>
      </c>
      <c r="P8" s="18"/>
    </row>
    <row r="9" spans="1:16" x14ac:dyDescent="0.2">
      <c r="A9" s="72">
        <v>12</v>
      </c>
      <c r="B9" s="72" t="s">
        <v>42</v>
      </c>
      <c r="C9" s="72">
        <v>25516226</v>
      </c>
      <c r="D9" s="72" t="s">
        <v>17</v>
      </c>
      <c r="E9" s="72" t="s">
        <v>84</v>
      </c>
      <c r="F9" s="72">
        <v>20310</v>
      </c>
      <c r="G9" s="72">
        <v>0.55241300000000004</v>
      </c>
      <c r="H9" s="72">
        <v>-449.70800000000003</v>
      </c>
      <c r="I9" s="72">
        <v>60.4908</v>
      </c>
      <c r="J9" s="72">
        <v>1.05111E-13</v>
      </c>
      <c r="K9" s="72">
        <v>-0.1229</v>
      </c>
      <c r="L9" s="72">
        <v>1.6516200000000002E-2</v>
      </c>
      <c r="M9" s="72">
        <v>9.9783100000000002E-14</v>
      </c>
      <c r="N9" s="72">
        <v>1</v>
      </c>
      <c r="P9" s="18"/>
    </row>
    <row r="10" spans="1:16" x14ac:dyDescent="0.2">
      <c r="A10" s="72">
        <v>7</v>
      </c>
      <c r="B10" s="72" t="s">
        <v>45</v>
      </c>
      <c r="C10" s="72">
        <v>77406075</v>
      </c>
      <c r="D10" s="72" t="s">
        <v>84</v>
      </c>
      <c r="E10" s="72" t="s">
        <v>9</v>
      </c>
      <c r="F10" s="72">
        <v>20235</v>
      </c>
      <c r="G10" s="72">
        <v>0.77776100000000004</v>
      </c>
      <c r="H10" s="72">
        <v>-394.12099999999998</v>
      </c>
      <c r="I10" s="72">
        <v>53.567900000000002</v>
      </c>
      <c r="J10" s="72">
        <v>1.8752200000000001E-13</v>
      </c>
      <c r="K10" s="72">
        <v>-0.137347</v>
      </c>
      <c r="L10" s="72">
        <v>1.8667199999999998E-2</v>
      </c>
      <c r="M10" s="72">
        <v>1.87118E-13</v>
      </c>
      <c r="N10" s="72">
        <v>1</v>
      </c>
      <c r="P10" s="18"/>
    </row>
    <row r="11" spans="1:16" x14ac:dyDescent="0.2">
      <c r="A11" s="72">
        <v>6</v>
      </c>
      <c r="B11" s="72" t="s">
        <v>46</v>
      </c>
      <c r="C11" s="72">
        <v>144725786</v>
      </c>
      <c r="D11" s="72" t="s">
        <v>84</v>
      </c>
      <c r="E11" s="72" t="s">
        <v>9</v>
      </c>
      <c r="F11" s="72">
        <v>20116</v>
      </c>
      <c r="G11" s="72">
        <v>0.50648700000000002</v>
      </c>
      <c r="H11" s="72">
        <v>-412.20299999999997</v>
      </c>
      <c r="I11" s="72">
        <v>58.652999999999999</v>
      </c>
      <c r="J11" s="72">
        <v>2.09778E-12</v>
      </c>
      <c r="K11" s="72">
        <v>-0.11982</v>
      </c>
      <c r="L11" s="72">
        <v>1.6642799999999999E-2</v>
      </c>
      <c r="M11" s="72">
        <v>6.0421000000000001E-13</v>
      </c>
      <c r="N11" s="72">
        <v>1</v>
      </c>
      <c r="P11" s="18"/>
    </row>
    <row r="12" spans="1:16" x14ac:dyDescent="0.2">
      <c r="A12" s="72">
        <v>12</v>
      </c>
      <c r="B12" s="72" t="s">
        <v>40</v>
      </c>
      <c r="C12" s="72">
        <v>25516165</v>
      </c>
      <c r="D12" s="72" t="s">
        <v>8</v>
      </c>
      <c r="E12" s="72" t="s">
        <v>17</v>
      </c>
      <c r="F12" s="72">
        <v>20382</v>
      </c>
      <c r="G12" s="72">
        <v>0.55688800000000005</v>
      </c>
      <c r="H12" s="72">
        <v>-422.53100000000001</v>
      </c>
      <c r="I12" s="72">
        <v>59.829000000000001</v>
      </c>
      <c r="J12" s="72">
        <v>1.6375399999999999E-12</v>
      </c>
      <c r="K12" s="72">
        <v>-0.11804199999999999</v>
      </c>
      <c r="L12" s="72">
        <v>1.6698999999999999E-2</v>
      </c>
      <c r="M12" s="72">
        <v>1.56311E-12</v>
      </c>
      <c r="N12" s="72">
        <v>1</v>
      </c>
      <c r="P12" s="18"/>
    </row>
    <row r="13" spans="1:16" x14ac:dyDescent="0.2">
      <c r="A13" s="72">
        <v>12</v>
      </c>
      <c r="B13" s="72" t="s">
        <v>48</v>
      </c>
      <c r="C13" s="72">
        <v>44913850</v>
      </c>
      <c r="D13" s="72" t="s">
        <v>84</v>
      </c>
      <c r="E13" s="72" t="s">
        <v>9</v>
      </c>
      <c r="F13" s="72">
        <v>20387</v>
      </c>
      <c r="G13" s="72">
        <v>0.48111500000000001</v>
      </c>
      <c r="H13" s="72">
        <v>-349.64299999999997</v>
      </c>
      <c r="I13" s="72">
        <v>55.883400000000002</v>
      </c>
      <c r="J13" s="72">
        <v>3.93321E-10</v>
      </c>
      <c r="K13" s="72">
        <v>-0.111959</v>
      </c>
      <c r="L13" s="72">
        <v>1.7420999999999999E-2</v>
      </c>
      <c r="M13" s="72">
        <v>1.3043300000000001E-10</v>
      </c>
      <c r="N13" s="72">
        <v>1</v>
      </c>
    </row>
    <row r="14" spans="1:16" x14ac:dyDescent="0.2">
      <c r="A14" s="72">
        <v>16</v>
      </c>
      <c r="B14" s="72" t="s">
        <v>50</v>
      </c>
      <c r="C14" s="72">
        <v>275943</v>
      </c>
      <c r="D14" s="72" t="s">
        <v>96</v>
      </c>
      <c r="E14" s="72" t="s">
        <v>8</v>
      </c>
      <c r="F14" s="72">
        <v>21315</v>
      </c>
      <c r="G14" s="72">
        <v>0.87410299999999996</v>
      </c>
      <c r="H14" s="72">
        <v>-167.94</v>
      </c>
      <c r="I14" s="72">
        <v>30.4527</v>
      </c>
      <c r="J14" s="72">
        <v>3.4922699999999998E-8</v>
      </c>
      <c r="K14" s="72">
        <v>-0.181093</v>
      </c>
      <c r="L14" s="72">
        <v>3.2739799999999999E-2</v>
      </c>
      <c r="M14" s="72">
        <v>3.1791700000000001E-8</v>
      </c>
      <c r="N14" s="72">
        <v>1</v>
      </c>
    </row>
    <row r="15" spans="1:16" x14ac:dyDescent="0.2">
      <c r="A15" s="72">
        <v>8</v>
      </c>
      <c r="B15" s="72" t="s">
        <v>53</v>
      </c>
      <c r="C15" s="72">
        <v>28058313</v>
      </c>
      <c r="D15" s="72" t="s">
        <v>84</v>
      </c>
      <c r="E15" s="72" t="s">
        <v>9</v>
      </c>
      <c r="F15" s="72">
        <v>20422</v>
      </c>
      <c r="G15" s="72">
        <v>0.90627800000000003</v>
      </c>
      <c r="H15" s="72">
        <v>-216.93700000000001</v>
      </c>
      <c r="I15" s="72">
        <v>39.538800000000002</v>
      </c>
      <c r="J15" s="72">
        <v>4.0952899999999997E-8</v>
      </c>
      <c r="K15" s="72">
        <v>-0.138767</v>
      </c>
      <c r="L15" s="72">
        <v>2.52987E-2</v>
      </c>
      <c r="M15" s="72">
        <v>4.1312099999999998E-8</v>
      </c>
      <c r="N15" s="72">
        <v>1</v>
      </c>
    </row>
    <row r="16" spans="1:16" x14ac:dyDescent="0.2">
      <c r="A16" s="73">
        <v>23</v>
      </c>
      <c r="B16" s="73" t="s">
        <v>55</v>
      </c>
      <c r="C16" s="73">
        <v>83869794</v>
      </c>
      <c r="D16" s="73" t="s">
        <v>9</v>
      </c>
      <c r="E16" s="73" t="s">
        <v>8</v>
      </c>
      <c r="F16" s="73">
        <v>20443</v>
      </c>
      <c r="G16" s="73">
        <v>0.91547199999999995</v>
      </c>
      <c r="H16" s="73">
        <v>-185.77199999999999</v>
      </c>
      <c r="I16" s="73">
        <v>37.670499999999997</v>
      </c>
      <c r="J16" s="73">
        <v>8.1604799999999995E-7</v>
      </c>
      <c r="K16" s="73">
        <v>-0.130911</v>
      </c>
      <c r="L16" s="73">
        <v>2.6548800000000001E-2</v>
      </c>
      <c r="M16" s="73">
        <v>8.1823000000000004E-7</v>
      </c>
      <c r="N16" s="73">
        <v>1</v>
      </c>
    </row>
    <row r="17" spans="1:14" x14ac:dyDescent="0.2">
      <c r="A17" s="72">
        <v>6</v>
      </c>
      <c r="B17" s="72" t="s">
        <v>114</v>
      </c>
      <c r="C17" s="72">
        <v>123273365</v>
      </c>
      <c r="D17" s="72" t="s">
        <v>115</v>
      </c>
      <c r="E17" s="72" t="s">
        <v>9</v>
      </c>
      <c r="F17" s="72">
        <v>20551</v>
      </c>
      <c r="G17" s="72">
        <v>0.186171</v>
      </c>
      <c r="H17" s="72">
        <v>-197.80600000000001</v>
      </c>
      <c r="I17" s="72">
        <v>40.253700000000002</v>
      </c>
      <c r="J17" s="72">
        <v>8.9247300000000003E-7</v>
      </c>
      <c r="K17" s="72">
        <v>-0.122075</v>
      </c>
      <c r="L17" s="72">
        <v>2.4806100000000001E-2</v>
      </c>
      <c r="M17" s="72">
        <v>8.6025400000000005E-7</v>
      </c>
      <c r="N17" s="72">
        <v>1</v>
      </c>
    </row>
    <row r="18" spans="1:14" x14ac:dyDescent="0.2">
      <c r="A18" s="73">
        <v>12</v>
      </c>
      <c r="B18" s="73" t="s">
        <v>43</v>
      </c>
      <c r="C18" s="73">
        <v>123410716</v>
      </c>
      <c r="D18" s="73" t="s">
        <v>9</v>
      </c>
      <c r="E18" s="73" t="s">
        <v>8</v>
      </c>
      <c r="F18" s="73">
        <v>20085</v>
      </c>
      <c r="G18" s="73">
        <v>0.110456</v>
      </c>
      <c r="H18" s="73">
        <v>-154.21299999999999</v>
      </c>
      <c r="I18" s="73">
        <v>31.4499</v>
      </c>
      <c r="J18" s="73">
        <v>9.4166200000000003E-7</v>
      </c>
      <c r="K18" s="73">
        <v>-0.155913</v>
      </c>
      <c r="L18" s="73">
        <v>3.1801999999999997E-2</v>
      </c>
      <c r="M18" s="73">
        <v>9.4564400000000005E-7</v>
      </c>
      <c r="N18" s="73">
        <v>1</v>
      </c>
    </row>
    <row r="19" spans="1:14" x14ac:dyDescent="0.2">
      <c r="A19" s="72">
        <v>1</v>
      </c>
      <c r="B19" s="72" t="s">
        <v>61</v>
      </c>
      <c r="C19" s="72">
        <v>180274605</v>
      </c>
      <c r="D19" s="72" t="s">
        <v>9</v>
      </c>
      <c r="E19" s="72" t="s">
        <v>84</v>
      </c>
      <c r="F19" s="72">
        <v>21807</v>
      </c>
      <c r="G19" s="72">
        <v>0.15070800000000001</v>
      </c>
      <c r="H19" s="72">
        <v>-171.15299999999999</v>
      </c>
      <c r="I19" s="72">
        <v>36.083100000000002</v>
      </c>
      <c r="J19" s="72">
        <v>2.10266E-6</v>
      </c>
      <c r="K19" s="72">
        <v>-0.13145499999999999</v>
      </c>
      <c r="L19" s="72">
        <v>2.7256900000000001E-2</v>
      </c>
      <c r="M19" s="72">
        <v>1.4155400000000001E-6</v>
      </c>
      <c r="N19" s="72">
        <v>1</v>
      </c>
    </row>
    <row r="20" spans="1:14" x14ac:dyDescent="0.2">
      <c r="A20" s="72">
        <v>1</v>
      </c>
      <c r="B20" s="72" t="s">
        <v>67</v>
      </c>
      <c r="C20" s="72">
        <v>208103054</v>
      </c>
      <c r="D20" s="72" t="s">
        <v>125</v>
      </c>
      <c r="E20" s="72" t="s">
        <v>84</v>
      </c>
      <c r="F20" s="72">
        <v>20782</v>
      </c>
      <c r="G20" s="72">
        <v>0.94488000000000005</v>
      </c>
      <c r="H20" s="72">
        <v>110.295</v>
      </c>
      <c r="I20" s="72">
        <v>23.174700000000001</v>
      </c>
      <c r="J20" s="72">
        <v>1.94273E-6</v>
      </c>
      <c r="K20" s="72">
        <v>0.20536599999999999</v>
      </c>
      <c r="L20" s="72">
        <v>4.3182499999999999E-2</v>
      </c>
      <c r="M20" s="72">
        <v>1.9768299999999998E-6</v>
      </c>
      <c r="N20" s="72">
        <v>1</v>
      </c>
    </row>
    <row r="21" spans="1:14" x14ac:dyDescent="0.2">
      <c r="A21" s="72">
        <v>4</v>
      </c>
      <c r="B21" s="72" t="s">
        <v>64</v>
      </c>
      <c r="C21" s="72">
        <v>98106033</v>
      </c>
      <c r="D21" s="72" t="s">
        <v>84</v>
      </c>
      <c r="E21" s="72" t="s">
        <v>9</v>
      </c>
      <c r="F21" s="72">
        <v>21548</v>
      </c>
      <c r="G21" s="72">
        <v>0.176095</v>
      </c>
      <c r="H21" s="72">
        <v>-182.238</v>
      </c>
      <c r="I21" s="72">
        <v>39.3429</v>
      </c>
      <c r="J21" s="72">
        <v>3.6207299999999999E-6</v>
      </c>
      <c r="K21" s="72">
        <v>-0.11773500000000001</v>
      </c>
      <c r="L21" s="72">
        <v>2.4844600000000001E-2</v>
      </c>
      <c r="M21" s="72">
        <v>2.14915E-6</v>
      </c>
      <c r="N21" s="72">
        <v>1</v>
      </c>
    </row>
    <row r="24" spans="1:14" x14ac:dyDescent="0.2">
      <c r="A24" s="67" t="s">
        <v>267</v>
      </c>
      <c r="B24" s="68"/>
      <c r="C24" s="68"/>
      <c r="D24" s="68"/>
      <c r="E24" s="68"/>
      <c r="F24" s="69"/>
    </row>
    <row r="25" spans="1:14" x14ac:dyDescent="0.2">
      <c r="A25" s="59" t="s">
        <v>68</v>
      </c>
      <c r="B25" s="60" t="s">
        <v>2</v>
      </c>
      <c r="C25" s="60" t="s">
        <v>3</v>
      </c>
      <c r="D25" s="60" t="s">
        <v>4</v>
      </c>
      <c r="E25" s="60" t="s">
        <v>189</v>
      </c>
      <c r="F25" s="60" t="s">
        <v>157</v>
      </c>
    </row>
    <row r="26" spans="1:14" x14ac:dyDescent="0.2">
      <c r="A26" s="61">
        <v>4</v>
      </c>
      <c r="B26" s="62" t="s">
        <v>7</v>
      </c>
      <c r="C26" s="62">
        <v>0.61299099999999995</v>
      </c>
      <c r="D26" s="62">
        <v>-0.16609299999999999</v>
      </c>
      <c r="E26" s="63">
        <v>2.9184800000000001E-27</v>
      </c>
      <c r="F26" s="62" t="s">
        <v>14</v>
      </c>
    </row>
    <row r="27" spans="1:14" x14ac:dyDescent="0.2">
      <c r="A27" s="64">
        <v>2</v>
      </c>
      <c r="B27" s="65" t="s">
        <v>20</v>
      </c>
      <c r="C27" s="65">
        <v>0.48229100000000003</v>
      </c>
      <c r="D27" s="65">
        <v>-0.14885000000000001</v>
      </c>
      <c r="E27" s="66">
        <v>3.3662099999999999E-17</v>
      </c>
      <c r="F27" s="62" t="s">
        <v>22</v>
      </c>
      <c r="G27" s="18"/>
    </row>
    <row r="28" spans="1:14" x14ac:dyDescent="0.2">
      <c r="A28" s="64">
        <v>10</v>
      </c>
      <c r="B28" s="65" t="s">
        <v>24</v>
      </c>
      <c r="C28" s="65">
        <v>0.46512500000000001</v>
      </c>
      <c r="D28" s="65">
        <v>-0.14441499999999999</v>
      </c>
      <c r="E28" s="66">
        <v>3.92863E-17</v>
      </c>
      <c r="F28" s="62" t="s">
        <v>26</v>
      </c>
      <c r="G28" s="18"/>
    </row>
    <row r="29" spans="1:14" x14ac:dyDescent="0.2">
      <c r="A29" s="64">
        <v>12</v>
      </c>
      <c r="B29" s="65" t="s">
        <v>30</v>
      </c>
      <c r="C29" s="65">
        <v>0.51123399999999997</v>
      </c>
      <c r="D29" s="65">
        <v>-0.13436899999999999</v>
      </c>
      <c r="E29" s="66">
        <v>1.1076000000000001E-15</v>
      </c>
      <c r="F29" s="62" t="s">
        <v>34</v>
      </c>
      <c r="G29" s="18"/>
    </row>
    <row r="30" spans="1:14" x14ac:dyDescent="0.2">
      <c r="A30" s="64">
        <v>7</v>
      </c>
      <c r="B30" s="65" t="s">
        <v>45</v>
      </c>
      <c r="C30" s="65">
        <v>0.77776100000000004</v>
      </c>
      <c r="D30" s="65">
        <v>-0.137347</v>
      </c>
      <c r="E30" s="66">
        <v>1.87118E-13</v>
      </c>
      <c r="F30" s="62" t="s">
        <v>44</v>
      </c>
      <c r="G30" s="18"/>
    </row>
    <row r="31" spans="1:14" x14ac:dyDescent="0.2">
      <c r="A31" s="64">
        <v>6</v>
      </c>
      <c r="B31" s="65" t="s">
        <v>46</v>
      </c>
      <c r="C31" s="65">
        <v>0.50648700000000002</v>
      </c>
      <c r="D31" s="65">
        <v>-0.11982</v>
      </c>
      <c r="E31" s="66">
        <v>6.0421000000000001E-13</v>
      </c>
      <c r="F31" s="62" t="s">
        <v>279</v>
      </c>
      <c r="G31" s="18"/>
    </row>
    <row r="32" spans="1:14" x14ac:dyDescent="0.2">
      <c r="A32" s="64">
        <v>12</v>
      </c>
      <c r="B32" s="65" t="s">
        <v>48</v>
      </c>
      <c r="C32" s="65">
        <v>0.48111500000000001</v>
      </c>
      <c r="D32" s="65">
        <v>-0.111959</v>
      </c>
      <c r="E32" s="66">
        <v>1.3043300000000001E-10</v>
      </c>
      <c r="F32" s="62" t="s">
        <v>49</v>
      </c>
      <c r="G32" s="18"/>
    </row>
    <row r="33" spans="1:7" x14ac:dyDescent="0.2">
      <c r="A33" s="64">
        <v>16</v>
      </c>
      <c r="B33" s="65" t="s">
        <v>50</v>
      </c>
      <c r="C33" s="65">
        <v>0.87410299999999996</v>
      </c>
      <c r="D33" s="65">
        <v>-0.181093</v>
      </c>
      <c r="E33" s="66">
        <v>3.1791700000000001E-8</v>
      </c>
      <c r="F33" s="62" t="s">
        <v>51</v>
      </c>
      <c r="G33" s="18"/>
    </row>
    <row r="34" spans="1:7" x14ac:dyDescent="0.2">
      <c r="A34" s="64">
        <v>8</v>
      </c>
      <c r="B34" s="65" t="s">
        <v>53</v>
      </c>
      <c r="C34" s="65">
        <v>0.90627800000000003</v>
      </c>
      <c r="D34" s="65">
        <v>-0.138767</v>
      </c>
      <c r="E34" s="66">
        <v>4.1312099999999998E-8</v>
      </c>
      <c r="F34" s="62" t="s">
        <v>272</v>
      </c>
      <c r="G34" s="18"/>
    </row>
    <row r="35" spans="1:7" x14ac:dyDescent="0.2">
      <c r="A35" s="64">
        <v>23</v>
      </c>
      <c r="B35" s="65" t="s">
        <v>55</v>
      </c>
      <c r="C35" s="65">
        <v>0.91547199999999995</v>
      </c>
      <c r="D35" s="65">
        <v>-0.130911</v>
      </c>
      <c r="E35" s="66">
        <v>8.1823000000000004E-7</v>
      </c>
      <c r="F35" s="62" t="s">
        <v>54</v>
      </c>
      <c r="G35" s="18"/>
    </row>
    <row r="36" spans="1:7" x14ac:dyDescent="0.2">
      <c r="G36" s="18"/>
    </row>
  </sheetData>
  <mergeCells count="1">
    <mergeCell ref="A24:F24"/>
  </mergeCells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6ECC2-D000-574E-92B9-F3BE096BC05E}">
  <dimension ref="A1:N36"/>
  <sheetViews>
    <sheetView showGridLines="0" zoomScale="83" workbookViewId="0">
      <selection activeCell="I36" sqref="I36"/>
    </sheetView>
  </sheetViews>
  <sheetFormatPr baseColWidth="10" defaultRowHeight="16" x14ac:dyDescent="0.2"/>
  <cols>
    <col min="2" max="2" width="16" customWidth="1"/>
    <col min="3" max="5" width="10.83203125" customWidth="1"/>
    <col min="6" max="6" width="7.6640625" customWidth="1"/>
    <col min="8" max="10" width="10.83203125" customWidth="1"/>
    <col min="12" max="12" width="10.83203125" customWidth="1"/>
    <col min="14" max="14" width="15" customWidth="1"/>
  </cols>
  <sheetData>
    <row r="1" spans="1:14" x14ac:dyDescent="0.2">
      <c r="A1" s="71" t="s">
        <v>68</v>
      </c>
      <c r="B1" s="71" t="s">
        <v>2</v>
      </c>
      <c r="C1" s="71" t="s">
        <v>69</v>
      </c>
      <c r="D1" s="71" t="s">
        <v>70</v>
      </c>
      <c r="E1" s="71" t="s">
        <v>71</v>
      </c>
      <c r="F1" s="71" t="s">
        <v>72</v>
      </c>
      <c r="G1" s="71" t="s">
        <v>3</v>
      </c>
      <c r="H1" s="71" t="s">
        <v>9</v>
      </c>
      <c r="I1" s="71" t="s">
        <v>73</v>
      </c>
      <c r="J1" s="71" t="s">
        <v>74</v>
      </c>
      <c r="K1" s="71" t="s">
        <v>4</v>
      </c>
      <c r="L1" s="71" t="s">
        <v>75</v>
      </c>
      <c r="M1" s="71" t="s">
        <v>5</v>
      </c>
      <c r="N1" s="71" t="s">
        <v>158</v>
      </c>
    </row>
    <row r="2" spans="1:14" x14ac:dyDescent="0.2">
      <c r="A2" s="72">
        <v>4</v>
      </c>
      <c r="B2" s="72" t="s">
        <v>7</v>
      </c>
      <c r="C2" s="72">
        <v>26672139</v>
      </c>
      <c r="D2" s="72" t="s">
        <v>8</v>
      </c>
      <c r="E2" s="72" t="s">
        <v>9</v>
      </c>
      <c r="F2" s="72">
        <v>5303</v>
      </c>
      <c r="G2" s="72">
        <v>0.64680400000000005</v>
      </c>
      <c r="H2" s="72">
        <v>-125.29</v>
      </c>
      <c r="I2" s="72">
        <v>23.314</v>
      </c>
      <c r="J2" s="72">
        <v>7.6994900000000003E-8</v>
      </c>
      <c r="K2" s="72">
        <v>-0.23050699999999999</v>
      </c>
      <c r="L2" s="72">
        <v>4.2976899999999998E-2</v>
      </c>
      <c r="M2" s="72">
        <v>8.1623300000000005E-8</v>
      </c>
      <c r="N2" s="72">
        <v>1</v>
      </c>
    </row>
    <row r="3" spans="1:14" x14ac:dyDescent="0.2">
      <c r="A3" s="72">
        <v>4</v>
      </c>
      <c r="B3" s="72" t="s">
        <v>16</v>
      </c>
      <c r="C3" s="72">
        <v>26672165</v>
      </c>
      <c r="D3" s="72" t="s">
        <v>17</v>
      </c>
      <c r="E3" s="72" t="s">
        <v>8</v>
      </c>
      <c r="F3" s="72">
        <v>5360</v>
      </c>
      <c r="G3" s="72">
        <v>0.66791</v>
      </c>
      <c r="H3" s="72">
        <v>-117.42100000000001</v>
      </c>
      <c r="I3" s="72">
        <v>23.139199999999999</v>
      </c>
      <c r="J3" s="72">
        <v>3.8837999999999999E-7</v>
      </c>
      <c r="K3" s="72">
        <v>-0.219306</v>
      </c>
      <c r="L3" s="72">
        <v>4.3283299999999997E-2</v>
      </c>
      <c r="M3" s="72">
        <v>4.0461799999999998E-7</v>
      </c>
      <c r="N3" s="72">
        <v>1</v>
      </c>
    </row>
    <row r="4" spans="1:14" x14ac:dyDescent="0.2">
      <c r="A4" s="72">
        <v>12</v>
      </c>
      <c r="B4" s="72" t="s">
        <v>30</v>
      </c>
      <c r="C4" s="72">
        <v>25516252</v>
      </c>
      <c r="D4" s="72" t="s">
        <v>8</v>
      </c>
      <c r="E4" s="72" t="s">
        <v>17</v>
      </c>
      <c r="F4" s="72">
        <v>5457</v>
      </c>
      <c r="G4" s="72">
        <v>0.53234400000000004</v>
      </c>
      <c r="H4" s="72">
        <v>-101.252</v>
      </c>
      <c r="I4" s="72">
        <v>21.601099999999999</v>
      </c>
      <c r="J4" s="72">
        <v>2.7676699999999998E-6</v>
      </c>
      <c r="K4" s="72">
        <v>-0.21699599999999999</v>
      </c>
      <c r="L4" s="72">
        <v>4.6421499999999997E-2</v>
      </c>
      <c r="M4" s="72">
        <v>2.94705E-6</v>
      </c>
      <c r="N4" s="72">
        <v>1</v>
      </c>
    </row>
    <row r="5" spans="1:14" x14ac:dyDescent="0.2">
      <c r="A5" s="72">
        <v>16</v>
      </c>
      <c r="B5" s="72" t="s">
        <v>180</v>
      </c>
      <c r="C5" s="72">
        <v>8919178</v>
      </c>
      <c r="D5" s="72" t="s">
        <v>17</v>
      </c>
      <c r="E5" s="72" t="s">
        <v>8</v>
      </c>
      <c r="F5" s="72">
        <v>5804</v>
      </c>
      <c r="G5" s="72">
        <v>2.79118E-2</v>
      </c>
      <c r="H5" s="72">
        <v>26.634699999999999</v>
      </c>
      <c r="I5" s="72">
        <v>5.9064399999999999</v>
      </c>
      <c r="J5" s="72">
        <v>6.5002299999999996E-6</v>
      </c>
      <c r="K5" s="72">
        <v>0.76347600000000004</v>
      </c>
      <c r="L5" s="72">
        <v>0.17519999999999999</v>
      </c>
      <c r="M5" s="72">
        <v>1.31409E-5</v>
      </c>
      <c r="N5" s="72">
        <v>1</v>
      </c>
    </row>
    <row r="6" spans="1:14" x14ac:dyDescent="0.2">
      <c r="A6" s="72">
        <v>4</v>
      </c>
      <c r="B6" s="72" t="s">
        <v>181</v>
      </c>
      <c r="C6" s="72">
        <v>145813395</v>
      </c>
      <c r="D6" s="72" t="s">
        <v>167</v>
      </c>
      <c r="E6" s="72" t="s">
        <v>17</v>
      </c>
      <c r="F6" s="72">
        <v>5803</v>
      </c>
      <c r="G6" s="72">
        <v>1.2148900000000001E-2</v>
      </c>
      <c r="H6" s="72">
        <v>17.877700000000001</v>
      </c>
      <c r="I6" s="72">
        <v>3.9521700000000002</v>
      </c>
      <c r="J6" s="72">
        <v>6.0817700000000004E-6</v>
      </c>
      <c r="K6" s="72">
        <v>1.1445700000000001</v>
      </c>
      <c r="L6" s="72">
        <v>0.26772000000000001</v>
      </c>
      <c r="M6" s="72">
        <v>1.9093299999999999E-5</v>
      </c>
      <c r="N6" s="72">
        <v>1</v>
      </c>
    </row>
    <row r="7" spans="1:14" x14ac:dyDescent="0.2">
      <c r="A7" s="72">
        <v>2</v>
      </c>
      <c r="B7" s="72" t="s">
        <v>182</v>
      </c>
      <c r="C7" s="72">
        <v>10772027</v>
      </c>
      <c r="D7" s="72" t="s">
        <v>17</v>
      </c>
      <c r="E7" s="72" t="s">
        <v>9</v>
      </c>
      <c r="F7" s="72">
        <v>5488</v>
      </c>
      <c r="G7" s="72">
        <v>0.40005499999999999</v>
      </c>
      <c r="H7" s="72">
        <v>-77.881</v>
      </c>
      <c r="I7" s="72">
        <v>18.1904</v>
      </c>
      <c r="J7" s="72">
        <v>1.85698E-5</v>
      </c>
      <c r="K7" s="72">
        <v>-0.23536699999999999</v>
      </c>
      <c r="L7" s="72">
        <v>5.5131399999999997E-2</v>
      </c>
      <c r="M7" s="72">
        <v>1.9617199999999999E-5</v>
      </c>
      <c r="N7" s="72">
        <v>1</v>
      </c>
    </row>
    <row r="8" spans="1:14" x14ac:dyDescent="0.2">
      <c r="A8" s="72">
        <v>3</v>
      </c>
      <c r="B8" s="72" t="s">
        <v>183</v>
      </c>
      <c r="C8" s="72">
        <v>52246641</v>
      </c>
      <c r="D8" s="72" t="s">
        <v>9</v>
      </c>
      <c r="E8" s="72" t="s">
        <v>84</v>
      </c>
      <c r="F8" s="72">
        <v>5788</v>
      </c>
      <c r="G8" s="72">
        <v>0.17199400000000001</v>
      </c>
      <c r="H8" s="72">
        <v>59.034799999999997</v>
      </c>
      <c r="I8" s="72">
        <v>13.9183</v>
      </c>
      <c r="J8" s="72">
        <v>2.22013E-5</v>
      </c>
      <c r="K8" s="72">
        <v>0.30474400000000001</v>
      </c>
      <c r="L8" s="72">
        <v>7.1440900000000002E-2</v>
      </c>
      <c r="M8" s="72">
        <v>1.99296E-5</v>
      </c>
      <c r="N8" s="72">
        <v>1</v>
      </c>
    </row>
    <row r="9" spans="1:14" x14ac:dyDescent="0.2">
      <c r="A9" s="72">
        <v>12</v>
      </c>
      <c r="B9" s="72" t="s">
        <v>36</v>
      </c>
      <c r="C9" s="72">
        <v>25516266</v>
      </c>
      <c r="D9" s="72" t="s">
        <v>17</v>
      </c>
      <c r="E9" s="72" t="s">
        <v>9</v>
      </c>
      <c r="F9" s="72">
        <v>5377</v>
      </c>
      <c r="G9" s="72">
        <v>0.55997799999999998</v>
      </c>
      <c r="H9" s="72">
        <v>-92.864000000000004</v>
      </c>
      <c r="I9" s="72">
        <v>21.8767</v>
      </c>
      <c r="J9" s="72">
        <v>2.1871399999999999E-5</v>
      </c>
      <c r="K9" s="72">
        <v>-0.19403599999999999</v>
      </c>
      <c r="L9" s="72">
        <v>4.5849399999999998E-2</v>
      </c>
      <c r="M9" s="72">
        <v>2.3158499999999999E-5</v>
      </c>
      <c r="N9" s="72">
        <v>1</v>
      </c>
    </row>
    <row r="10" spans="1:14" x14ac:dyDescent="0.2">
      <c r="A10" s="72">
        <v>12</v>
      </c>
      <c r="B10" s="72" t="s">
        <v>40</v>
      </c>
      <c r="C10" s="72">
        <v>25516165</v>
      </c>
      <c r="D10" s="72" t="s">
        <v>8</v>
      </c>
      <c r="E10" s="72" t="s">
        <v>17</v>
      </c>
      <c r="F10" s="72">
        <v>5447</v>
      </c>
      <c r="G10" s="72">
        <v>0.57756600000000002</v>
      </c>
      <c r="H10" s="72">
        <v>-91.431600000000003</v>
      </c>
      <c r="I10" s="72">
        <v>21.610499999999998</v>
      </c>
      <c r="J10" s="72">
        <v>2.3275899999999999E-5</v>
      </c>
      <c r="K10" s="72">
        <v>-0.19578000000000001</v>
      </c>
      <c r="L10" s="72">
        <v>4.63801E-2</v>
      </c>
      <c r="M10" s="72">
        <v>2.42993E-5</v>
      </c>
      <c r="N10" s="72">
        <v>1</v>
      </c>
    </row>
    <row r="11" spans="1:14" x14ac:dyDescent="0.2">
      <c r="A11" s="72">
        <v>7</v>
      </c>
      <c r="B11" s="72" t="s">
        <v>45</v>
      </c>
      <c r="C11" s="72">
        <v>77406075</v>
      </c>
      <c r="D11" s="72" t="s">
        <v>84</v>
      </c>
      <c r="E11" s="72" t="s">
        <v>9</v>
      </c>
      <c r="F11" s="72">
        <v>5413</v>
      </c>
      <c r="G11" s="72">
        <v>0.79715499999999995</v>
      </c>
      <c r="H11" s="72">
        <v>-79.295599999999993</v>
      </c>
      <c r="I11" s="72">
        <v>18.9191</v>
      </c>
      <c r="J11" s="72">
        <v>2.7735699999999999E-5</v>
      </c>
      <c r="K11" s="72">
        <v>-0.22153800000000001</v>
      </c>
      <c r="L11" s="72">
        <v>5.32515E-2</v>
      </c>
      <c r="M11" s="72">
        <v>3.1792599999999998E-5</v>
      </c>
      <c r="N11" s="72">
        <v>1</v>
      </c>
    </row>
    <row r="12" spans="1:14" x14ac:dyDescent="0.2">
      <c r="A12" s="72">
        <v>2</v>
      </c>
      <c r="B12" s="72" t="s">
        <v>20</v>
      </c>
      <c r="C12" s="72">
        <v>112015789</v>
      </c>
      <c r="D12" s="72" t="s">
        <v>17</v>
      </c>
      <c r="E12" s="72" t="s">
        <v>8</v>
      </c>
      <c r="F12" s="72">
        <v>5425</v>
      </c>
      <c r="G12" s="72">
        <v>0.49870999999999999</v>
      </c>
      <c r="H12" s="72">
        <v>-84.656000000000006</v>
      </c>
      <c r="I12" s="72">
        <v>20.507899999999999</v>
      </c>
      <c r="J12" s="72">
        <v>3.6596600000000001E-5</v>
      </c>
      <c r="K12" s="72">
        <v>-0.20128799999999999</v>
      </c>
      <c r="L12" s="72">
        <v>4.89367E-2</v>
      </c>
      <c r="M12" s="72">
        <v>3.9017399999999997E-5</v>
      </c>
      <c r="N12" s="72">
        <v>1</v>
      </c>
    </row>
    <row r="13" spans="1:14" x14ac:dyDescent="0.2">
      <c r="A13" s="72">
        <v>13</v>
      </c>
      <c r="B13" s="72" t="s">
        <v>56</v>
      </c>
      <c r="C13" s="72">
        <v>95301363</v>
      </c>
      <c r="D13" s="72" t="s">
        <v>8</v>
      </c>
      <c r="E13" s="72" t="s">
        <v>17</v>
      </c>
      <c r="F13" s="72">
        <v>5804</v>
      </c>
      <c r="G13" s="72">
        <v>4.7208800000000002E-2</v>
      </c>
      <c r="H13" s="72">
        <v>31.859000000000002</v>
      </c>
      <c r="I13" s="72">
        <v>7.6959299999999997</v>
      </c>
      <c r="J13" s="72">
        <v>3.4772299999999999E-5</v>
      </c>
      <c r="K13" s="72">
        <v>0.53791100000000003</v>
      </c>
      <c r="L13" s="72">
        <v>0.131823</v>
      </c>
      <c r="M13" s="72">
        <v>4.4929299999999997E-5</v>
      </c>
      <c r="N13" s="72">
        <v>1</v>
      </c>
    </row>
    <row r="14" spans="1:14" x14ac:dyDescent="0.2">
      <c r="A14" s="72">
        <v>1</v>
      </c>
      <c r="B14" s="72" t="s">
        <v>192</v>
      </c>
      <c r="C14" s="72">
        <v>74540343</v>
      </c>
      <c r="D14" s="72" t="s">
        <v>17</v>
      </c>
      <c r="E14" s="72" t="s">
        <v>8</v>
      </c>
      <c r="F14" s="72">
        <v>5803</v>
      </c>
      <c r="G14" s="72">
        <v>0.30510100000000001</v>
      </c>
      <c r="H14" s="72">
        <v>67.601200000000006</v>
      </c>
      <c r="I14" s="72">
        <v>16.7516</v>
      </c>
      <c r="J14" s="72">
        <v>5.44863E-5</v>
      </c>
      <c r="K14" s="72">
        <v>0.24090200000000001</v>
      </c>
      <c r="L14" s="72">
        <v>5.9327600000000001E-2</v>
      </c>
      <c r="M14" s="72">
        <v>4.8961000000000001E-5</v>
      </c>
      <c r="N14" s="72">
        <v>1</v>
      </c>
    </row>
    <row r="15" spans="1:14" x14ac:dyDescent="0.2">
      <c r="A15" s="72">
        <v>16</v>
      </c>
      <c r="B15" s="72" t="s">
        <v>207</v>
      </c>
      <c r="C15" s="72">
        <v>8915429</v>
      </c>
      <c r="D15" s="72" t="s">
        <v>17</v>
      </c>
      <c r="E15" s="72" t="s">
        <v>8</v>
      </c>
      <c r="F15" s="72">
        <v>5804</v>
      </c>
      <c r="G15" s="72">
        <v>2.64473E-2</v>
      </c>
      <c r="H15" s="72">
        <v>23.758700000000001</v>
      </c>
      <c r="I15" s="72">
        <v>5.76973</v>
      </c>
      <c r="J15" s="72">
        <v>3.8248299999999998E-5</v>
      </c>
      <c r="K15" s="72">
        <v>0.71369199999999999</v>
      </c>
      <c r="L15" s="72">
        <v>0.17788399999999999</v>
      </c>
      <c r="M15" s="72">
        <v>6.0177199999999997E-5</v>
      </c>
      <c r="N15" s="72">
        <v>1</v>
      </c>
    </row>
    <row r="16" spans="1:14" x14ac:dyDescent="0.2">
      <c r="A16" s="73">
        <v>19</v>
      </c>
      <c r="B16" s="73" t="s">
        <v>200</v>
      </c>
      <c r="C16" s="73">
        <v>12391643</v>
      </c>
      <c r="D16" s="73" t="s">
        <v>17</v>
      </c>
      <c r="E16" s="73" t="s">
        <v>8</v>
      </c>
      <c r="F16" s="73">
        <v>5803</v>
      </c>
      <c r="G16" s="73">
        <v>0.73539500000000002</v>
      </c>
      <c r="H16" s="73">
        <v>-64.154600000000002</v>
      </c>
      <c r="I16" s="73">
        <v>15.9825</v>
      </c>
      <c r="J16" s="73">
        <v>5.96874E-5</v>
      </c>
      <c r="K16" s="73">
        <v>-0.25115199999999999</v>
      </c>
      <c r="L16" s="73">
        <v>6.2843499999999997E-2</v>
      </c>
      <c r="M16" s="73">
        <v>6.4295700000000002E-5</v>
      </c>
      <c r="N16" s="73">
        <v>1</v>
      </c>
    </row>
    <row r="17" spans="1:14" x14ac:dyDescent="0.2">
      <c r="A17" s="72">
        <v>14</v>
      </c>
      <c r="B17" s="72" t="s">
        <v>194</v>
      </c>
      <c r="C17" s="72">
        <v>91608201</v>
      </c>
      <c r="D17" s="72" t="s">
        <v>8</v>
      </c>
      <c r="E17" s="72" t="s">
        <v>9</v>
      </c>
      <c r="F17" s="72">
        <v>5699</v>
      </c>
      <c r="G17" s="72">
        <v>0.84523599999999999</v>
      </c>
      <c r="H17" s="72">
        <v>52.195099999999996</v>
      </c>
      <c r="I17" s="72">
        <v>13.244199999999999</v>
      </c>
      <c r="J17" s="72">
        <v>8.1154499999999997E-5</v>
      </c>
      <c r="K17" s="72">
        <v>0.29756100000000002</v>
      </c>
      <c r="L17" s="72">
        <v>7.4780600000000003E-2</v>
      </c>
      <c r="M17" s="72">
        <v>6.9172700000000003E-5</v>
      </c>
      <c r="N17" s="72">
        <v>1</v>
      </c>
    </row>
    <row r="18" spans="1:14" x14ac:dyDescent="0.2">
      <c r="A18" s="73">
        <v>5</v>
      </c>
      <c r="B18" s="73" t="s">
        <v>208</v>
      </c>
      <c r="C18" s="73">
        <v>128186461</v>
      </c>
      <c r="D18" s="73" t="s">
        <v>209</v>
      </c>
      <c r="E18" s="73" t="s">
        <v>17</v>
      </c>
      <c r="F18" s="73">
        <v>5631</v>
      </c>
      <c r="G18" s="73">
        <v>2.45072E-2</v>
      </c>
      <c r="H18" s="73">
        <v>-21.918099999999999</v>
      </c>
      <c r="I18" s="73">
        <v>5.47065</v>
      </c>
      <c r="J18" s="73">
        <v>6.1627300000000005E-5</v>
      </c>
      <c r="K18" s="73">
        <v>-0.73236100000000004</v>
      </c>
      <c r="L18" s="73">
        <v>0.187144</v>
      </c>
      <c r="M18" s="73">
        <v>9.1024600000000003E-5</v>
      </c>
      <c r="N18" s="73">
        <v>1</v>
      </c>
    </row>
    <row r="19" spans="1:14" x14ac:dyDescent="0.2">
      <c r="A19" s="72">
        <v>12</v>
      </c>
      <c r="B19" s="72" t="s">
        <v>42</v>
      </c>
      <c r="C19" s="72">
        <v>25516226</v>
      </c>
      <c r="D19" s="72" t="s">
        <v>17</v>
      </c>
      <c r="E19" s="72" t="s">
        <v>84</v>
      </c>
      <c r="F19" s="72">
        <v>5406</v>
      </c>
      <c r="G19" s="72">
        <v>0.57528699999999999</v>
      </c>
      <c r="H19" s="72">
        <v>-85.831800000000001</v>
      </c>
      <c r="I19" s="72">
        <v>21.884399999999999</v>
      </c>
      <c r="J19" s="72">
        <v>8.7798899999999997E-5</v>
      </c>
      <c r="K19" s="72">
        <v>-0.17921599999999999</v>
      </c>
      <c r="L19" s="72">
        <v>4.5805400000000003E-2</v>
      </c>
      <c r="M19" s="72">
        <v>9.1321699999999997E-5</v>
      </c>
      <c r="N19" s="72">
        <v>1</v>
      </c>
    </row>
    <row r="20" spans="1:14" x14ac:dyDescent="0.2">
      <c r="A20" s="72">
        <v>16</v>
      </c>
      <c r="B20" s="72" t="s">
        <v>210</v>
      </c>
      <c r="C20" s="72">
        <v>8930425</v>
      </c>
      <c r="D20" s="72" t="s">
        <v>84</v>
      </c>
      <c r="E20" s="72" t="s">
        <v>17</v>
      </c>
      <c r="F20" s="72">
        <v>5804</v>
      </c>
      <c r="G20" s="72">
        <v>2.73949E-2</v>
      </c>
      <c r="H20" s="72">
        <v>23.4071</v>
      </c>
      <c r="I20" s="72">
        <v>5.8689600000000004</v>
      </c>
      <c r="J20" s="72">
        <v>6.6551500000000001E-5</v>
      </c>
      <c r="K20" s="72">
        <v>0.67955600000000005</v>
      </c>
      <c r="L20" s="72">
        <v>0.17407</v>
      </c>
      <c r="M20" s="72">
        <v>9.4646299999999995E-5</v>
      </c>
      <c r="N20" s="72">
        <v>1</v>
      </c>
    </row>
    <row r="21" spans="1:14" x14ac:dyDescent="0.2">
      <c r="A21" s="72">
        <v>1</v>
      </c>
      <c r="B21" s="72" t="s">
        <v>211</v>
      </c>
      <c r="C21" s="72">
        <v>185168329</v>
      </c>
      <c r="D21" s="72" t="s">
        <v>9</v>
      </c>
      <c r="E21" s="72" t="s">
        <v>8</v>
      </c>
      <c r="F21" s="72">
        <v>5284</v>
      </c>
      <c r="G21" s="72">
        <v>0.47984500000000002</v>
      </c>
      <c r="H21" s="72">
        <v>-74.740899999999996</v>
      </c>
      <c r="I21" s="72">
        <v>19.175699999999999</v>
      </c>
      <c r="J21" s="72">
        <v>9.7113099999999997E-5</v>
      </c>
      <c r="K21" s="72">
        <v>-0.203263</v>
      </c>
      <c r="L21" s="72">
        <v>5.2240399999999999E-2</v>
      </c>
      <c r="M21" s="72">
        <v>9.9869099999999996E-5</v>
      </c>
      <c r="N21" s="72">
        <v>1</v>
      </c>
    </row>
    <row r="23" spans="1:14" x14ac:dyDescent="0.2">
      <c r="A23" s="67" t="s">
        <v>280</v>
      </c>
      <c r="B23" s="68"/>
      <c r="C23" s="68"/>
      <c r="D23" s="68"/>
      <c r="E23" s="68"/>
      <c r="F23" s="69"/>
    </row>
    <row r="24" spans="1:14" x14ac:dyDescent="0.2">
      <c r="A24" s="59" t="s">
        <v>68</v>
      </c>
      <c r="B24" s="60" t="s">
        <v>2</v>
      </c>
      <c r="C24" s="60" t="s">
        <v>3</v>
      </c>
      <c r="D24" s="60" t="s">
        <v>4</v>
      </c>
      <c r="E24" s="60" t="s">
        <v>189</v>
      </c>
      <c r="F24" s="60" t="s">
        <v>157</v>
      </c>
    </row>
    <row r="25" spans="1:14" x14ac:dyDescent="0.2">
      <c r="A25" s="61">
        <v>4</v>
      </c>
      <c r="B25" s="62" t="s">
        <v>7</v>
      </c>
      <c r="C25" s="62">
        <v>0.64680400000000005</v>
      </c>
      <c r="D25" s="62">
        <v>-0.23050699999999999</v>
      </c>
      <c r="E25" s="63">
        <v>8.1623300000000005E-8</v>
      </c>
      <c r="F25" s="62" t="s">
        <v>269</v>
      </c>
    </row>
    <row r="26" spans="1:14" x14ac:dyDescent="0.2">
      <c r="A26" s="64">
        <v>12</v>
      </c>
      <c r="B26" s="65" t="s">
        <v>30</v>
      </c>
      <c r="C26" s="65">
        <v>0.53234400000000004</v>
      </c>
      <c r="D26" s="65">
        <v>-0.21699599999999999</v>
      </c>
      <c r="E26" s="66">
        <v>2.94705E-6</v>
      </c>
      <c r="F26" s="62" t="s">
        <v>34</v>
      </c>
    </row>
    <row r="27" spans="1:14" x14ac:dyDescent="0.2">
      <c r="A27" s="64">
        <v>16</v>
      </c>
      <c r="B27" s="65" t="s">
        <v>180</v>
      </c>
      <c r="C27" s="65">
        <v>2.79118E-2</v>
      </c>
      <c r="D27" s="65">
        <v>0.76347600000000004</v>
      </c>
      <c r="E27" s="66">
        <v>1.31409E-5</v>
      </c>
      <c r="F27" s="62" t="s">
        <v>281</v>
      </c>
    </row>
    <row r="28" spans="1:14" x14ac:dyDescent="0.2">
      <c r="A28" s="64">
        <v>4</v>
      </c>
      <c r="B28" s="65" t="s">
        <v>181</v>
      </c>
      <c r="C28" s="65">
        <v>1.2148900000000001E-2</v>
      </c>
      <c r="D28" s="65">
        <v>1.1445700000000001</v>
      </c>
      <c r="E28" s="66">
        <v>1.9093299999999999E-5</v>
      </c>
      <c r="F28" s="62" t="s">
        <v>282</v>
      </c>
    </row>
    <row r="29" spans="1:14" x14ac:dyDescent="0.2">
      <c r="A29" s="64">
        <v>2</v>
      </c>
      <c r="B29" s="65" t="s">
        <v>182</v>
      </c>
      <c r="C29" s="65">
        <v>0.40005499999999999</v>
      </c>
      <c r="D29" s="65">
        <v>-0.23536699999999999</v>
      </c>
      <c r="E29" s="66">
        <v>1.9617199999999999E-5</v>
      </c>
      <c r="F29" s="62" t="s">
        <v>283</v>
      </c>
    </row>
    <row r="30" spans="1:14" x14ac:dyDescent="0.2">
      <c r="A30" s="64">
        <v>3</v>
      </c>
      <c r="B30" s="65" t="s">
        <v>183</v>
      </c>
      <c r="C30" s="65">
        <v>0.17199400000000001</v>
      </c>
      <c r="D30" s="65">
        <v>0.30474400000000001</v>
      </c>
      <c r="E30" s="66">
        <v>1.99296E-5</v>
      </c>
      <c r="F30" s="62" t="s">
        <v>284</v>
      </c>
    </row>
    <row r="31" spans="1:14" x14ac:dyDescent="0.2">
      <c r="A31" s="64">
        <v>7</v>
      </c>
      <c r="B31" s="65" t="s">
        <v>45</v>
      </c>
      <c r="C31" s="65">
        <v>0.79715499999999995</v>
      </c>
      <c r="D31" s="65">
        <v>-0.22153800000000001</v>
      </c>
      <c r="E31" s="66">
        <v>3.1792599999999998E-5</v>
      </c>
      <c r="F31" s="62" t="s">
        <v>44</v>
      </c>
    </row>
    <row r="32" spans="1:14" x14ac:dyDescent="0.2">
      <c r="A32" s="64">
        <v>2</v>
      </c>
      <c r="B32" s="65" t="s">
        <v>20</v>
      </c>
      <c r="C32" s="65">
        <v>0.49870999999999999</v>
      </c>
      <c r="D32" s="65">
        <v>-0.20128799999999999</v>
      </c>
      <c r="E32" s="66">
        <v>3.9017399999999997E-5</v>
      </c>
      <c r="F32" s="62" t="s">
        <v>22</v>
      </c>
    </row>
    <row r="33" spans="1:6" x14ac:dyDescent="0.2">
      <c r="A33" s="64">
        <v>13</v>
      </c>
      <c r="B33" s="65" t="s">
        <v>56</v>
      </c>
      <c r="C33" s="65">
        <v>4.7208800000000002E-2</v>
      </c>
      <c r="D33" s="65">
        <v>0.53791100000000003</v>
      </c>
      <c r="E33" s="66">
        <v>4.4929299999999997E-5</v>
      </c>
      <c r="F33" s="62" t="s">
        <v>285</v>
      </c>
    </row>
    <row r="34" spans="1:6" x14ac:dyDescent="0.2">
      <c r="A34" s="64">
        <v>1</v>
      </c>
      <c r="B34" s="65" t="s">
        <v>192</v>
      </c>
      <c r="C34" s="65">
        <v>0.30510100000000001</v>
      </c>
      <c r="D34" s="65">
        <v>0.24090200000000001</v>
      </c>
      <c r="E34" s="66">
        <v>4.8961000000000001E-5</v>
      </c>
      <c r="F34" s="62" t="s">
        <v>286</v>
      </c>
    </row>
    <row r="35" spans="1:6" x14ac:dyDescent="0.2">
      <c r="B35" s="18"/>
    </row>
    <row r="36" spans="1:6" x14ac:dyDescent="0.2">
      <c r="B36" s="18"/>
    </row>
  </sheetData>
  <mergeCells count="1">
    <mergeCell ref="A23:F23"/>
  </mergeCells>
  <pageMargins left="0.7" right="0.7" top="0.75" bottom="0.75" header="0.3" footer="0.3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A96BB-B18B-674E-A0A3-71CA460FE6E9}">
  <dimension ref="A1:O35"/>
  <sheetViews>
    <sheetView showGridLines="0" zoomScale="95" workbookViewId="0">
      <selection activeCell="I36" sqref="I36"/>
    </sheetView>
  </sheetViews>
  <sheetFormatPr baseColWidth="10" defaultRowHeight="16" x14ac:dyDescent="0.2"/>
  <cols>
    <col min="3" max="6" width="10.83203125" customWidth="1"/>
    <col min="8" max="10" width="10.83203125" customWidth="1"/>
    <col min="12" max="13" width="10.83203125" customWidth="1"/>
  </cols>
  <sheetData>
    <row r="1" spans="1:15" x14ac:dyDescent="0.2">
      <c r="A1" s="71" t="s">
        <v>68</v>
      </c>
      <c r="B1" s="71" t="s">
        <v>2</v>
      </c>
      <c r="C1" s="71" t="s">
        <v>69</v>
      </c>
      <c r="D1" s="71" t="s">
        <v>70</v>
      </c>
      <c r="E1" s="71" t="s">
        <v>71</v>
      </c>
      <c r="F1" s="71" t="s">
        <v>72</v>
      </c>
      <c r="G1" s="71" t="s">
        <v>3</v>
      </c>
      <c r="H1" s="71" t="s">
        <v>9</v>
      </c>
      <c r="I1" s="71" t="s">
        <v>73</v>
      </c>
      <c r="J1" s="71" t="s">
        <v>74</v>
      </c>
      <c r="K1" s="71" t="s">
        <v>4</v>
      </c>
      <c r="L1" s="71" t="s">
        <v>75</v>
      </c>
      <c r="M1" s="71" t="s">
        <v>5</v>
      </c>
      <c r="N1" s="71" t="s">
        <v>158</v>
      </c>
    </row>
    <row r="2" spans="1:15" x14ac:dyDescent="0.2">
      <c r="A2" s="72">
        <v>4</v>
      </c>
      <c r="B2" s="72" t="s">
        <v>7</v>
      </c>
      <c r="C2" s="72">
        <v>26672139</v>
      </c>
      <c r="D2" s="72" t="s">
        <v>8</v>
      </c>
      <c r="E2" s="72" t="s">
        <v>9</v>
      </c>
      <c r="F2" s="72">
        <v>8728</v>
      </c>
      <c r="G2" s="72">
        <v>0.62746299999999999</v>
      </c>
      <c r="H2" s="72">
        <v>-275.07100000000003</v>
      </c>
      <c r="I2" s="72">
        <v>42.989600000000003</v>
      </c>
      <c r="J2" s="72">
        <v>1.5686200000000001E-10</v>
      </c>
      <c r="K2" s="72">
        <v>-0.148839</v>
      </c>
      <c r="L2" s="72">
        <v>2.3209899999999999E-2</v>
      </c>
      <c r="M2" s="72">
        <v>1.4290599999999999E-10</v>
      </c>
      <c r="N2" s="72">
        <v>1</v>
      </c>
    </row>
    <row r="3" spans="1:15" x14ac:dyDescent="0.2">
      <c r="A3" s="72">
        <v>4</v>
      </c>
      <c r="B3" s="72" t="s">
        <v>16</v>
      </c>
      <c r="C3" s="72">
        <v>26672165</v>
      </c>
      <c r="D3" s="72" t="s">
        <v>17</v>
      </c>
      <c r="E3" s="72" t="s">
        <v>8</v>
      </c>
      <c r="F3" s="72">
        <v>8826</v>
      </c>
      <c r="G3" s="72">
        <v>0.64797199999999999</v>
      </c>
      <c r="H3" s="72">
        <v>-255.91800000000001</v>
      </c>
      <c r="I3" s="72">
        <v>42.759900000000002</v>
      </c>
      <c r="J3" s="72">
        <v>2.1638900000000001E-9</v>
      </c>
      <c r="K3" s="72">
        <v>-0.13996800000000001</v>
      </c>
      <c r="L3" s="72">
        <v>2.3324899999999999E-2</v>
      </c>
      <c r="M3" s="72">
        <v>1.9635700000000001E-9</v>
      </c>
      <c r="N3" s="72">
        <v>1</v>
      </c>
      <c r="O3" s="18"/>
    </row>
    <row r="4" spans="1:15" x14ac:dyDescent="0.2">
      <c r="A4" s="72">
        <v>12</v>
      </c>
      <c r="B4" s="72" t="s">
        <v>30</v>
      </c>
      <c r="C4" s="72">
        <v>25516252</v>
      </c>
      <c r="D4" s="72" t="s">
        <v>8</v>
      </c>
      <c r="E4" s="72" t="s">
        <v>17</v>
      </c>
      <c r="F4" s="72">
        <v>8975</v>
      </c>
      <c r="G4" s="72">
        <v>0.51910900000000004</v>
      </c>
      <c r="H4" s="72">
        <v>-225.084</v>
      </c>
      <c r="I4" s="72">
        <v>39.546199999999999</v>
      </c>
      <c r="J4" s="72">
        <v>1.2579299999999999E-8</v>
      </c>
      <c r="K4" s="72">
        <v>-0.143925</v>
      </c>
      <c r="L4" s="72">
        <v>2.5257100000000001E-2</v>
      </c>
      <c r="M4" s="72">
        <v>1.20945E-8</v>
      </c>
      <c r="N4" s="72">
        <v>1</v>
      </c>
      <c r="O4" s="18"/>
    </row>
    <row r="5" spans="1:15" x14ac:dyDescent="0.2">
      <c r="A5" s="72">
        <v>12</v>
      </c>
      <c r="B5" s="72" t="s">
        <v>40</v>
      </c>
      <c r="C5" s="72">
        <v>25516165</v>
      </c>
      <c r="D5" s="72" t="s">
        <v>8</v>
      </c>
      <c r="E5" s="72" t="s">
        <v>17</v>
      </c>
      <c r="F5" s="72">
        <v>8970</v>
      </c>
      <c r="G5" s="72">
        <v>0.56516200000000005</v>
      </c>
      <c r="H5" s="72">
        <v>-215.05099999999999</v>
      </c>
      <c r="I5" s="72">
        <v>39.663699999999999</v>
      </c>
      <c r="J5" s="72">
        <v>5.8985299999999998E-8</v>
      </c>
      <c r="K5" s="72">
        <v>-0.13669600000000001</v>
      </c>
      <c r="L5" s="72">
        <v>2.5179099999999999E-2</v>
      </c>
      <c r="M5" s="72">
        <v>5.6693399999999999E-8</v>
      </c>
      <c r="N5" s="72">
        <v>1</v>
      </c>
      <c r="O5" s="18"/>
    </row>
    <row r="6" spans="1:15" x14ac:dyDescent="0.2">
      <c r="A6" s="72">
        <v>12</v>
      </c>
      <c r="B6" s="72" t="s">
        <v>36</v>
      </c>
      <c r="C6" s="72">
        <v>25516266</v>
      </c>
      <c r="D6" s="72" t="s">
        <v>17</v>
      </c>
      <c r="E6" s="72" t="s">
        <v>9</v>
      </c>
      <c r="F6" s="72">
        <v>8837</v>
      </c>
      <c r="G6" s="72">
        <v>0.54730100000000004</v>
      </c>
      <c r="H6" s="72">
        <v>-208.851</v>
      </c>
      <c r="I6" s="72">
        <v>40.023699999999998</v>
      </c>
      <c r="J6" s="72">
        <v>1.8069699999999999E-7</v>
      </c>
      <c r="K6" s="72">
        <v>-0.13037699999999999</v>
      </c>
      <c r="L6" s="72">
        <v>2.4956900000000001E-2</v>
      </c>
      <c r="M6" s="72">
        <v>1.7501200000000001E-7</v>
      </c>
      <c r="N6" s="72">
        <v>1</v>
      </c>
      <c r="O6" s="18"/>
    </row>
    <row r="7" spans="1:15" x14ac:dyDescent="0.2">
      <c r="A7" s="72">
        <v>12</v>
      </c>
      <c r="B7" s="72" t="s">
        <v>42</v>
      </c>
      <c r="C7" s="72">
        <v>25516226</v>
      </c>
      <c r="D7" s="72" t="s">
        <v>17</v>
      </c>
      <c r="E7" s="72" t="s">
        <v>84</v>
      </c>
      <c r="F7" s="72">
        <v>8900</v>
      </c>
      <c r="G7" s="72">
        <v>0.562303</v>
      </c>
      <c r="H7" s="72">
        <v>-202.386</v>
      </c>
      <c r="I7" s="72">
        <v>40.161799999999999</v>
      </c>
      <c r="J7" s="72">
        <v>4.6732599999999999E-7</v>
      </c>
      <c r="K7" s="72">
        <v>-0.125474</v>
      </c>
      <c r="L7" s="72">
        <v>2.4863900000000001E-2</v>
      </c>
      <c r="M7" s="72">
        <v>4.5015199999999999E-7</v>
      </c>
      <c r="N7" s="72">
        <v>1</v>
      </c>
      <c r="O7" s="18"/>
    </row>
    <row r="8" spans="1:15" x14ac:dyDescent="0.2">
      <c r="A8" s="72">
        <v>2</v>
      </c>
      <c r="B8" s="72" t="s">
        <v>20</v>
      </c>
      <c r="C8" s="72">
        <v>112015789</v>
      </c>
      <c r="D8" s="72" t="s">
        <v>17</v>
      </c>
      <c r="E8" s="72" t="s">
        <v>8</v>
      </c>
      <c r="F8" s="72">
        <v>8909</v>
      </c>
      <c r="G8" s="72">
        <v>0.48653000000000002</v>
      </c>
      <c r="H8" s="72">
        <v>-187.78800000000001</v>
      </c>
      <c r="I8" s="72">
        <v>37.604300000000002</v>
      </c>
      <c r="J8" s="72">
        <v>5.9208299999999997E-7</v>
      </c>
      <c r="K8" s="72">
        <v>-0.132798</v>
      </c>
      <c r="L8" s="72">
        <v>2.6601199999999998E-2</v>
      </c>
      <c r="M8" s="72">
        <v>5.9700200000000001E-7</v>
      </c>
      <c r="N8" s="72">
        <v>1</v>
      </c>
      <c r="O8" s="18"/>
    </row>
    <row r="9" spans="1:15" x14ac:dyDescent="0.2">
      <c r="A9" s="72">
        <v>7</v>
      </c>
      <c r="B9" s="72" t="s">
        <v>45</v>
      </c>
      <c r="C9" s="72">
        <v>77406075</v>
      </c>
      <c r="D9" s="72" t="s">
        <v>84</v>
      </c>
      <c r="E9" s="72" t="s">
        <v>9</v>
      </c>
      <c r="F9" s="72">
        <v>8919</v>
      </c>
      <c r="G9" s="72">
        <v>0.78624300000000003</v>
      </c>
      <c r="H9" s="72">
        <v>-158.77099999999999</v>
      </c>
      <c r="I9" s="72">
        <v>35.165399999999998</v>
      </c>
      <c r="J9" s="72">
        <v>6.3321099999999998E-6</v>
      </c>
      <c r="K9" s="72">
        <v>-0.12839300000000001</v>
      </c>
      <c r="L9" s="72">
        <v>2.84417E-2</v>
      </c>
      <c r="M9" s="72">
        <v>6.35403E-6</v>
      </c>
      <c r="N9" s="72">
        <v>1</v>
      </c>
      <c r="O9" s="18"/>
    </row>
    <row r="10" spans="1:15" x14ac:dyDescent="0.2">
      <c r="A10" s="72">
        <v>10</v>
      </c>
      <c r="B10" s="72" t="s">
        <v>24</v>
      </c>
      <c r="C10" s="72">
        <v>91935140</v>
      </c>
      <c r="D10" s="72" t="s">
        <v>9</v>
      </c>
      <c r="E10" s="72" t="s">
        <v>8</v>
      </c>
      <c r="F10" s="72">
        <v>8955</v>
      </c>
      <c r="G10" s="72">
        <v>0.47118900000000002</v>
      </c>
      <c r="H10" s="72">
        <v>-170.262</v>
      </c>
      <c r="I10" s="72">
        <v>38.727699999999999</v>
      </c>
      <c r="J10" s="72">
        <v>1.1006600000000001E-5</v>
      </c>
      <c r="K10" s="72">
        <v>-0.113521</v>
      </c>
      <c r="L10" s="72">
        <v>2.5792099999999998E-2</v>
      </c>
      <c r="M10" s="72">
        <v>1.07568E-5</v>
      </c>
      <c r="N10" s="72">
        <v>1</v>
      </c>
      <c r="O10" s="18"/>
    </row>
    <row r="11" spans="1:15" x14ac:dyDescent="0.2">
      <c r="A11" s="72">
        <v>19</v>
      </c>
      <c r="B11" s="72" t="s">
        <v>184</v>
      </c>
      <c r="C11" s="72">
        <v>39735150</v>
      </c>
      <c r="D11" s="72" t="s">
        <v>9</v>
      </c>
      <c r="E11" s="72" t="s">
        <v>84</v>
      </c>
      <c r="F11" s="72">
        <v>9457</v>
      </c>
      <c r="G11" s="72">
        <v>0.164746</v>
      </c>
      <c r="H11" s="72">
        <v>106.28400000000001</v>
      </c>
      <c r="I11" s="72">
        <v>24.742999999999999</v>
      </c>
      <c r="J11" s="72">
        <v>1.7430100000000001E-5</v>
      </c>
      <c r="K11" s="72">
        <v>0.17360500000000001</v>
      </c>
      <c r="L11" s="72">
        <v>4.0439700000000002E-2</v>
      </c>
      <c r="M11" s="72">
        <v>1.76337E-5</v>
      </c>
      <c r="N11" s="72">
        <v>1</v>
      </c>
      <c r="O11" s="18"/>
    </row>
    <row r="12" spans="1:15" x14ac:dyDescent="0.2">
      <c r="A12" s="72">
        <v>5</v>
      </c>
      <c r="B12" s="72" t="s">
        <v>185</v>
      </c>
      <c r="C12" s="72">
        <v>43543157</v>
      </c>
      <c r="D12" s="72" t="s">
        <v>84</v>
      </c>
      <c r="E12" s="72" t="s">
        <v>186</v>
      </c>
      <c r="F12" s="72">
        <v>9501</v>
      </c>
      <c r="G12" s="72">
        <v>1.8471700000000001E-2</v>
      </c>
      <c r="H12" s="72">
        <v>38.282699999999998</v>
      </c>
      <c r="I12" s="72">
        <v>9.0498799999999999</v>
      </c>
      <c r="J12" s="72">
        <v>2.33491E-5</v>
      </c>
      <c r="K12" s="72">
        <v>0.46743099999999999</v>
      </c>
      <c r="L12" s="72">
        <v>0.109941</v>
      </c>
      <c r="M12" s="72">
        <v>2.1220799999999998E-5</v>
      </c>
      <c r="N12" s="72">
        <v>1</v>
      </c>
      <c r="O12" s="18"/>
    </row>
    <row r="13" spans="1:15" x14ac:dyDescent="0.2">
      <c r="A13" s="72">
        <v>5</v>
      </c>
      <c r="B13" s="72" t="s">
        <v>187</v>
      </c>
      <c r="C13" s="72">
        <v>43503596</v>
      </c>
      <c r="D13" s="72" t="s">
        <v>8</v>
      </c>
      <c r="E13" s="72" t="s">
        <v>17</v>
      </c>
      <c r="F13" s="72">
        <v>9558</v>
      </c>
      <c r="G13" s="72">
        <v>1.9355500000000001E-2</v>
      </c>
      <c r="H13" s="72">
        <v>39.159500000000001</v>
      </c>
      <c r="I13" s="72">
        <v>9.2619000000000007</v>
      </c>
      <c r="J13" s="72">
        <v>2.3575500000000002E-5</v>
      </c>
      <c r="K13" s="72">
        <v>0.45649600000000001</v>
      </c>
      <c r="L13" s="72">
        <v>0.10742699999999999</v>
      </c>
      <c r="M13" s="72">
        <v>2.1436700000000001E-5</v>
      </c>
      <c r="N13" s="72">
        <v>1</v>
      </c>
    </row>
    <row r="14" spans="1:15" x14ac:dyDescent="0.2">
      <c r="A14" s="72">
        <v>20</v>
      </c>
      <c r="B14" s="72" t="s">
        <v>201</v>
      </c>
      <c r="C14" s="72">
        <v>290494</v>
      </c>
      <c r="D14" s="72" t="s">
        <v>167</v>
      </c>
      <c r="E14" s="72" t="s">
        <v>17</v>
      </c>
      <c r="F14" s="72">
        <v>9566</v>
      </c>
      <c r="G14" s="72">
        <v>0.64708299999999996</v>
      </c>
      <c r="H14" s="72">
        <v>132.79599999999999</v>
      </c>
      <c r="I14" s="72">
        <v>31.8947</v>
      </c>
      <c r="J14" s="72">
        <v>3.1330700000000001E-5</v>
      </c>
      <c r="K14" s="72">
        <v>0.13054099999999999</v>
      </c>
      <c r="L14" s="72">
        <v>3.13622E-2</v>
      </c>
      <c r="M14" s="72">
        <v>3.1496299999999999E-5</v>
      </c>
      <c r="N14" s="72">
        <v>1</v>
      </c>
    </row>
    <row r="15" spans="1:15" x14ac:dyDescent="0.2">
      <c r="A15" s="72">
        <v>17</v>
      </c>
      <c r="B15" s="72" t="s">
        <v>202</v>
      </c>
      <c r="C15" s="72">
        <v>40834800</v>
      </c>
      <c r="D15" s="72" t="s">
        <v>17</v>
      </c>
      <c r="E15" s="72" t="s">
        <v>9</v>
      </c>
      <c r="F15" s="72">
        <v>9561</v>
      </c>
      <c r="G15" s="72">
        <v>7.4887599999999999E-2</v>
      </c>
      <c r="H15" s="72">
        <v>70.146600000000007</v>
      </c>
      <c r="I15" s="72">
        <v>17.5015</v>
      </c>
      <c r="J15" s="72">
        <v>6.1225199999999998E-5</v>
      </c>
      <c r="K15" s="72">
        <v>0.22901099999999999</v>
      </c>
      <c r="L15" s="72">
        <v>5.5801900000000002E-2</v>
      </c>
      <c r="M15" s="72">
        <v>4.0605899999999997E-5</v>
      </c>
      <c r="N15" s="72">
        <v>1</v>
      </c>
    </row>
    <row r="16" spans="1:15" x14ac:dyDescent="0.2">
      <c r="A16" s="73">
        <v>17</v>
      </c>
      <c r="B16" s="73" t="s">
        <v>203</v>
      </c>
      <c r="C16" s="73">
        <v>40834801</v>
      </c>
      <c r="D16" s="73" t="s">
        <v>8</v>
      </c>
      <c r="E16" s="73" t="s">
        <v>9</v>
      </c>
      <c r="F16" s="73">
        <v>9562</v>
      </c>
      <c r="G16" s="73">
        <v>7.4879699999999993E-2</v>
      </c>
      <c r="H16" s="73">
        <v>70.041799999999995</v>
      </c>
      <c r="I16" s="73">
        <v>17.5016</v>
      </c>
      <c r="J16" s="73">
        <v>6.2803600000000003E-5</v>
      </c>
      <c r="K16" s="73">
        <v>0.22866600000000001</v>
      </c>
      <c r="L16" s="73">
        <v>5.58021E-2</v>
      </c>
      <c r="M16" s="73">
        <v>4.1709000000000003E-5</v>
      </c>
      <c r="N16" s="73">
        <v>1</v>
      </c>
    </row>
    <row r="17" spans="1:14" x14ac:dyDescent="0.2">
      <c r="A17" s="72">
        <v>2</v>
      </c>
      <c r="B17" s="72" t="s">
        <v>204</v>
      </c>
      <c r="C17" s="72">
        <v>102423717</v>
      </c>
      <c r="D17" s="72" t="s">
        <v>9</v>
      </c>
      <c r="E17" s="72" t="s">
        <v>8</v>
      </c>
      <c r="F17" s="72">
        <v>9397</v>
      </c>
      <c r="G17" s="72">
        <v>0.19602</v>
      </c>
      <c r="H17" s="72">
        <v>-102.825</v>
      </c>
      <c r="I17" s="72">
        <v>27.010200000000001</v>
      </c>
      <c r="J17" s="72">
        <v>1.4072100000000001E-4</v>
      </c>
      <c r="K17" s="72">
        <v>-0.14094300000000001</v>
      </c>
      <c r="L17" s="72">
        <v>3.4801800000000001E-2</v>
      </c>
      <c r="M17" s="72">
        <v>5.1243399999999998E-5</v>
      </c>
      <c r="N17" s="72">
        <v>1</v>
      </c>
    </row>
    <row r="18" spans="1:14" x14ac:dyDescent="0.2">
      <c r="A18" s="73">
        <v>14</v>
      </c>
      <c r="B18" s="73" t="s">
        <v>205</v>
      </c>
      <c r="C18" s="73">
        <v>19713343</v>
      </c>
      <c r="D18" s="73" t="s">
        <v>9</v>
      </c>
      <c r="E18" s="73" t="s">
        <v>84</v>
      </c>
      <c r="F18" s="73">
        <v>9496</v>
      </c>
      <c r="G18" s="73">
        <v>0.176759</v>
      </c>
      <c r="H18" s="73">
        <v>-97.140100000000004</v>
      </c>
      <c r="I18" s="73">
        <v>24.2392</v>
      </c>
      <c r="J18" s="73">
        <v>6.1349399999999999E-5</v>
      </c>
      <c r="K18" s="73">
        <v>-0.16533400000000001</v>
      </c>
      <c r="L18" s="73">
        <v>4.09307E-2</v>
      </c>
      <c r="M18" s="73">
        <v>5.3598099999999998E-5</v>
      </c>
      <c r="N18" s="73">
        <v>1</v>
      </c>
    </row>
    <row r="19" spans="1:14" x14ac:dyDescent="0.2">
      <c r="A19" s="72">
        <v>19</v>
      </c>
      <c r="B19" s="72" t="s">
        <v>206</v>
      </c>
      <c r="C19" s="72">
        <v>39734254</v>
      </c>
      <c r="D19" s="72" t="s">
        <v>9</v>
      </c>
      <c r="E19" s="72" t="s">
        <v>84</v>
      </c>
      <c r="F19" s="72">
        <v>9541</v>
      </c>
      <c r="G19" s="72">
        <v>0.168326</v>
      </c>
      <c r="H19" s="72">
        <v>99.834100000000007</v>
      </c>
      <c r="I19" s="72">
        <v>24.825700000000001</v>
      </c>
      <c r="J19" s="72">
        <v>5.7853599999999998E-5</v>
      </c>
      <c r="K19" s="72">
        <v>0.16198499999999999</v>
      </c>
      <c r="L19" s="72">
        <v>4.0305300000000002E-2</v>
      </c>
      <c r="M19" s="72">
        <v>5.8457E-5</v>
      </c>
      <c r="N19" s="72">
        <v>1</v>
      </c>
    </row>
    <row r="20" spans="1:14" x14ac:dyDescent="0.2">
      <c r="A20" s="72">
        <v>10</v>
      </c>
      <c r="B20" s="72" t="s">
        <v>41</v>
      </c>
      <c r="C20" s="72">
        <v>91935136</v>
      </c>
      <c r="D20" s="72" t="s">
        <v>9</v>
      </c>
      <c r="E20" s="72" t="s">
        <v>8</v>
      </c>
      <c r="F20" s="72">
        <v>8974</v>
      </c>
      <c r="G20" s="72">
        <v>0.35435699999999998</v>
      </c>
      <c r="H20" s="72">
        <v>-140.43199999999999</v>
      </c>
      <c r="I20" s="72">
        <v>35.836399999999998</v>
      </c>
      <c r="J20" s="72">
        <v>8.9029600000000006E-5</v>
      </c>
      <c r="K20" s="72">
        <v>-0.10935</v>
      </c>
      <c r="L20" s="72">
        <v>2.7774400000000001E-2</v>
      </c>
      <c r="M20" s="72">
        <v>8.2483299999999997E-5</v>
      </c>
      <c r="N20" s="72">
        <v>1</v>
      </c>
    </row>
    <row r="21" spans="1:14" x14ac:dyDescent="0.2">
      <c r="A21" s="72">
        <v>16</v>
      </c>
      <c r="B21" s="72" t="s">
        <v>50</v>
      </c>
      <c r="C21" s="72">
        <v>275943</v>
      </c>
      <c r="D21" s="72" t="s">
        <v>96</v>
      </c>
      <c r="E21" s="72" t="s">
        <v>8</v>
      </c>
      <c r="F21" s="72">
        <v>9371</v>
      </c>
      <c r="G21" s="72">
        <v>0.87482700000000002</v>
      </c>
      <c r="H21" s="72">
        <v>-79.227999999999994</v>
      </c>
      <c r="I21" s="72">
        <v>20.267800000000001</v>
      </c>
      <c r="J21" s="72">
        <v>9.2655499999999994E-5</v>
      </c>
      <c r="K21" s="72">
        <v>-0.19287099999999999</v>
      </c>
      <c r="L21" s="72">
        <v>4.91259E-2</v>
      </c>
      <c r="M21" s="72">
        <v>8.6353499999999999E-5</v>
      </c>
      <c r="N21" s="72">
        <v>1</v>
      </c>
    </row>
    <row r="24" spans="1:14" x14ac:dyDescent="0.2">
      <c r="A24" s="67" t="s">
        <v>291</v>
      </c>
      <c r="B24" s="68"/>
      <c r="C24" s="68"/>
      <c r="D24" s="68"/>
      <c r="E24" s="68"/>
      <c r="F24" s="69"/>
    </row>
    <row r="25" spans="1:14" x14ac:dyDescent="0.2">
      <c r="A25" s="59" t="s">
        <v>68</v>
      </c>
      <c r="B25" s="60" t="s">
        <v>2</v>
      </c>
      <c r="C25" s="60" t="s">
        <v>3</v>
      </c>
      <c r="D25" s="60" t="s">
        <v>4</v>
      </c>
      <c r="E25" s="60" t="s">
        <v>189</v>
      </c>
      <c r="F25" s="60" t="s">
        <v>157</v>
      </c>
    </row>
    <row r="26" spans="1:14" x14ac:dyDescent="0.2">
      <c r="A26" s="61">
        <v>4</v>
      </c>
      <c r="B26" s="62" t="s">
        <v>7</v>
      </c>
      <c r="C26" s="62">
        <v>0.62746299999999999</v>
      </c>
      <c r="D26" s="62">
        <v>-0.148839</v>
      </c>
      <c r="E26" s="63">
        <v>1.4290599999999999E-10</v>
      </c>
      <c r="F26" s="62" t="s">
        <v>14</v>
      </c>
    </row>
    <row r="27" spans="1:14" x14ac:dyDescent="0.2">
      <c r="A27" s="64">
        <v>12</v>
      </c>
      <c r="B27" s="65" t="s">
        <v>30</v>
      </c>
      <c r="C27" s="65">
        <v>0.51910900000000004</v>
      </c>
      <c r="D27" s="65">
        <v>-0.143925</v>
      </c>
      <c r="E27" s="66">
        <v>1.20945E-8</v>
      </c>
      <c r="F27" s="62" t="s">
        <v>34</v>
      </c>
    </row>
    <row r="28" spans="1:14" x14ac:dyDescent="0.2">
      <c r="A28" s="64">
        <v>2</v>
      </c>
      <c r="B28" s="65" t="s">
        <v>20</v>
      </c>
      <c r="C28" s="65">
        <v>0.48653000000000002</v>
      </c>
      <c r="D28" s="65">
        <v>-0.132798</v>
      </c>
      <c r="E28" s="66">
        <v>5.9700200000000001E-7</v>
      </c>
      <c r="F28" s="62" t="s">
        <v>22</v>
      </c>
    </row>
    <row r="29" spans="1:14" x14ac:dyDescent="0.2">
      <c r="A29" s="64">
        <v>7</v>
      </c>
      <c r="B29" s="65" t="s">
        <v>45</v>
      </c>
      <c r="C29" s="65">
        <v>0.78624300000000003</v>
      </c>
      <c r="D29" s="65">
        <v>-0.12839300000000001</v>
      </c>
      <c r="E29" s="66">
        <v>6.35403E-6</v>
      </c>
      <c r="F29" s="62" t="s">
        <v>44</v>
      </c>
    </row>
    <row r="30" spans="1:14" x14ac:dyDescent="0.2">
      <c r="A30" s="64">
        <v>10</v>
      </c>
      <c r="B30" s="65" t="s">
        <v>24</v>
      </c>
      <c r="C30" s="65">
        <v>0.47118900000000002</v>
      </c>
      <c r="D30" s="65">
        <v>-0.113521</v>
      </c>
      <c r="E30" s="66">
        <v>1.07568E-5</v>
      </c>
      <c r="F30" s="62" t="s">
        <v>26</v>
      </c>
    </row>
    <row r="31" spans="1:14" x14ac:dyDescent="0.2">
      <c r="A31" s="64">
        <v>19</v>
      </c>
      <c r="B31" s="65" t="s">
        <v>184</v>
      </c>
      <c r="C31" s="65">
        <v>0.164746</v>
      </c>
      <c r="D31" s="65">
        <v>0.17360500000000001</v>
      </c>
      <c r="E31" s="66">
        <v>1.76337E-5</v>
      </c>
      <c r="F31" s="62" t="s">
        <v>287</v>
      </c>
    </row>
    <row r="32" spans="1:14" x14ac:dyDescent="0.2">
      <c r="A32" s="64">
        <v>5</v>
      </c>
      <c r="B32" s="65" t="s">
        <v>185</v>
      </c>
      <c r="C32" s="65">
        <v>1.8471700000000001E-2</v>
      </c>
      <c r="D32" s="65">
        <v>0.46743099999999999</v>
      </c>
      <c r="E32" s="66">
        <v>2.1220799999999998E-5</v>
      </c>
      <c r="F32" s="62" t="s">
        <v>288</v>
      </c>
    </row>
    <row r="33" spans="1:6" x14ac:dyDescent="0.2">
      <c r="A33" s="64">
        <v>20</v>
      </c>
      <c r="B33" s="65" t="s">
        <v>201</v>
      </c>
      <c r="C33" s="65">
        <v>0.64708299999999996</v>
      </c>
      <c r="D33" s="65">
        <v>0.13054099999999999</v>
      </c>
      <c r="E33" s="66">
        <v>3.1496299999999999E-5</v>
      </c>
      <c r="F33" s="62" t="s">
        <v>253</v>
      </c>
    </row>
    <row r="34" spans="1:6" x14ac:dyDescent="0.2">
      <c r="A34" s="64">
        <v>17</v>
      </c>
      <c r="B34" s="65" t="s">
        <v>202</v>
      </c>
      <c r="C34" s="65">
        <v>7.4887599999999999E-2</v>
      </c>
      <c r="D34" s="65">
        <v>0.22901099999999999</v>
      </c>
      <c r="E34" s="66">
        <v>4.0599999999999998E-5</v>
      </c>
      <c r="F34" s="62" t="s">
        <v>289</v>
      </c>
    </row>
    <row r="35" spans="1:6" x14ac:dyDescent="0.2">
      <c r="A35" s="64">
        <v>2</v>
      </c>
      <c r="B35" s="65" t="s">
        <v>204</v>
      </c>
      <c r="C35" s="65">
        <v>0.19602</v>
      </c>
      <c r="D35" s="65">
        <v>-0.14094300000000001</v>
      </c>
      <c r="E35" s="66">
        <v>5.1243399999999998E-5</v>
      </c>
      <c r="F35" s="62" t="s">
        <v>290</v>
      </c>
    </row>
  </sheetData>
  <mergeCells count="1">
    <mergeCell ref="A24:F24"/>
  </mergeCells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6EC86-247A-344A-B3E1-5ECDD145AFD6}">
  <dimension ref="A1:N42"/>
  <sheetViews>
    <sheetView showGridLines="0" tabSelected="1" zoomScale="106" workbookViewId="0">
      <selection activeCell="P8" sqref="P8"/>
    </sheetView>
  </sheetViews>
  <sheetFormatPr baseColWidth="10" defaultRowHeight="16" x14ac:dyDescent="0.2"/>
  <cols>
    <col min="1" max="1" width="6.6640625" customWidth="1"/>
    <col min="3" max="5" width="10.83203125" customWidth="1"/>
    <col min="6" max="6" width="8.83203125" customWidth="1"/>
    <col min="8" max="10" width="10.83203125" customWidth="1"/>
    <col min="12" max="12" width="10.83203125" customWidth="1"/>
    <col min="14" max="14" width="14" customWidth="1"/>
  </cols>
  <sheetData>
    <row r="1" spans="1:14" x14ac:dyDescent="0.2">
      <c r="A1" s="71" t="s">
        <v>68</v>
      </c>
      <c r="B1" s="71" t="s">
        <v>2</v>
      </c>
      <c r="C1" s="71" t="s">
        <v>69</v>
      </c>
      <c r="D1" s="71" t="s">
        <v>70</v>
      </c>
      <c r="E1" s="71" t="s">
        <v>71</v>
      </c>
      <c r="F1" s="71" t="s">
        <v>72</v>
      </c>
      <c r="G1" s="71" t="s">
        <v>3</v>
      </c>
      <c r="H1" s="71" t="s">
        <v>9</v>
      </c>
      <c r="I1" s="71" t="s">
        <v>73</v>
      </c>
      <c r="J1" s="71" t="s">
        <v>74</v>
      </c>
      <c r="K1" s="71" t="s">
        <v>4</v>
      </c>
      <c r="L1" s="71" t="s">
        <v>75</v>
      </c>
      <c r="M1" s="71" t="s">
        <v>5</v>
      </c>
      <c r="N1" s="71" t="s">
        <v>158</v>
      </c>
    </row>
    <row r="2" spans="1:14" x14ac:dyDescent="0.2">
      <c r="A2" s="72">
        <v>4</v>
      </c>
      <c r="B2" s="72" t="s">
        <v>7</v>
      </c>
      <c r="C2" s="72">
        <v>26672139</v>
      </c>
      <c r="D2" s="72" t="s">
        <v>8</v>
      </c>
      <c r="E2" s="72" t="s">
        <v>9</v>
      </c>
      <c r="F2" s="72">
        <v>6198</v>
      </c>
      <c r="G2" s="72">
        <v>0.64335299999999995</v>
      </c>
      <c r="H2" s="72">
        <v>-116.78400000000001</v>
      </c>
      <c r="I2" s="72">
        <v>23.720199999999998</v>
      </c>
      <c r="J2" s="72">
        <v>8.5056800000000002E-7</v>
      </c>
      <c r="K2" s="72">
        <v>-0.207561</v>
      </c>
      <c r="L2" s="72">
        <v>4.2234899999999999E-2</v>
      </c>
      <c r="M2" s="72">
        <v>8.9037500000000003E-7</v>
      </c>
      <c r="N2" s="72">
        <v>1</v>
      </c>
    </row>
    <row r="3" spans="1:14" x14ac:dyDescent="0.2">
      <c r="A3" s="72">
        <v>4</v>
      </c>
      <c r="B3" s="72" t="s">
        <v>16</v>
      </c>
      <c r="C3" s="72">
        <v>26672165</v>
      </c>
      <c r="D3" s="72" t="s">
        <v>17</v>
      </c>
      <c r="E3" s="72" t="s">
        <v>8</v>
      </c>
      <c r="F3" s="72">
        <v>6263</v>
      </c>
      <c r="G3" s="72">
        <v>0.66334000000000004</v>
      </c>
      <c r="H3" s="72">
        <v>-107.452</v>
      </c>
      <c r="I3" s="72">
        <v>23.560700000000001</v>
      </c>
      <c r="J3" s="72">
        <v>5.0999899999999996E-6</v>
      </c>
      <c r="K3" s="72">
        <v>-0.19356999999999999</v>
      </c>
      <c r="L3" s="72">
        <v>4.2481199999999997E-2</v>
      </c>
      <c r="M3" s="72">
        <v>5.1989399999999997E-6</v>
      </c>
      <c r="N3" s="72">
        <v>1</v>
      </c>
    </row>
    <row r="4" spans="1:14" x14ac:dyDescent="0.2">
      <c r="A4" s="72">
        <v>12</v>
      </c>
      <c r="B4" s="72" t="s">
        <v>30</v>
      </c>
      <c r="C4" s="72">
        <v>25516252</v>
      </c>
      <c r="D4" s="72" t="s">
        <v>8</v>
      </c>
      <c r="E4" s="72" t="s">
        <v>17</v>
      </c>
      <c r="F4" s="72">
        <v>6369</v>
      </c>
      <c r="G4" s="72">
        <v>0.531088</v>
      </c>
      <c r="H4" s="72">
        <v>-97.878299999999996</v>
      </c>
      <c r="I4" s="72">
        <v>21.949400000000001</v>
      </c>
      <c r="J4" s="72">
        <v>8.2241300000000002E-6</v>
      </c>
      <c r="K4" s="72">
        <v>-0.20316100000000001</v>
      </c>
      <c r="L4" s="72">
        <v>4.5695E-2</v>
      </c>
      <c r="M4" s="72">
        <v>8.7476400000000002E-6</v>
      </c>
      <c r="N4" s="72">
        <v>1</v>
      </c>
    </row>
    <row r="5" spans="1:14" x14ac:dyDescent="0.2">
      <c r="A5" s="72">
        <v>13</v>
      </c>
      <c r="B5" s="72" t="s">
        <v>56</v>
      </c>
      <c r="C5" s="72">
        <v>95301363</v>
      </c>
      <c r="D5" s="72" t="s">
        <v>8</v>
      </c>
      <c r="E5" s="72" t="s">
        <v>17</v>
      </c>
      <c r="F5" s="72">
        <v>6781</v>
      </c>
      <c r="G5" s="72">
        <v>4.53473E-2</v>
      </c>
      <c r="H5" s="72">
        <v>34.682299999999998</v>
      </c>
      <c r="I5" s="72">
        <v>7.6577599999999997</v>
      </c>
      <c r="J5" s="72">
        <v>5.9252999999999998E-6</v>
      </c>
      <c r="K5" s="72">
        <v>0.59143100000000004</v>
      </c>
      <c r="L5" s="72">
        <v>0.13372500000000001</v>
      </c>
      <c r="M5" s="72">
        <v>9.7456000000000003E-6</v>
      </c>
      <c r="N5" s="72">
        <v>1</v>
      </c>
    </row>
    <row r="6" spans="1:14" x14ac:dyDescent="0.2">
      <c r="A6" s="72">
        <v>3</v>
      </c>
      <c r="B6" s="72" t="s">
        <v>183</v>
      </c>
      <c r="C6" s="72">
        <v>52246641</v>
      </c>
      <c r="D6" s="72" t="s">
        <v>9</v>
      </c>
      <c r="E6" s="72" t="s">
        <v>84</v>
      </c>
      <c r="F6" s="72">
        <v>6765</v>
      </c>
      <c r="G6" s="72">
        <v>0.17191400000000001</v>
      </c>
      <c r="H6" s="72">
        <v>59.349800000000002</v>
      </c>
      <c r="I6" s="72">
        <v>14.059900000000001</v>
      </c>
      <c r="J6" s="72">
        <v>2.42994E-5</v>
      </c>
      <c r="K6" s="72">
        <v>0.30023</v>
      </c>
      <c r="L6" s="72">
        <v>7.0825600000000002E-2</v>
      </c>
      <c r="M6" s="72">
        <v>2.2450999999999999E-5</v>
      </c>
      <c r="N6" s="72">
        <v>1</v>
      </c>
    </row>
    <row r="7" spans="1:14" x14ac:dyDescent="0.2">
      <c r="A7" s="72">
        <v>10</v>
      </c>
      <c r="B7" s="72" t="s">
        <v>188</v>
      </c>
      <c r="C7" s="72">
        <v>71679309</v>
      </c>
      <c r="D7" s="72" t="s">
        <v>9</v>
      </c>
      <c r="E7" s="72" t="s">
        <v>8</v>
      </c>
      <c r="F7" s="72">
        <v>6768</v>
      </c>
      <c r="G7" s="72">
        <v>0.57742300000000002</v>
      </c>
      <c r="H7" s="72">
        <v>75.846299999999999</v>
      </c>
      <c r="I7" s="72">
        <v>18.2727</v>
      </c>
      <c r="J7" s="72">
        <v>3.3132500000000002E-5</v>
      </c>
      <c r="K7" s="72">
        <v>0.227158</v>
      </c>
      <c r="L7" s="72">
        <v>5.5017499999999997E-2</v>
      </c>
      <c r="M7" s="72">
        <v>3.6461599999999997E-5</v>
      </c>
      <c r="N7" s="72">
        <v>1</v>
      </c>
    </row>
    <row r="8" spans="1:14" x14ac:dyDescent="0.2">
      <c r="A8" s="72">
        <v>4</v>
      </c>
      <c r="B8" s="72" t="s">
        <v>181</v>
      </c>
      <c r="C8" s="72">
        <v>145813395</v>
      </c>
      <c r="D8" s="72" t="s">
        <v>167</v>
      </c>
      <c r="E8" s="72" t="s">
        <v>17</v>
      </c>
      <c r="F8" s="72">
        <v>6781</v>
      </c>
      <c r="G8" s="72">
        <v>1.19451E-2</v>
      </c>
      <c r="H8" s="72">
        <v>17.5535</v>
      </c>
      <c r="I8" s="72">
        <v>4.0294699999999999</v>
      </c>
      <c r="J8" s="72">
        <v>1.3228799999999999E-5</v>
      </c>
      <c r="K8" s="72">
        <v>1.08111</v>
      </c>
      <c r="L8" s="72">
        <v>0.26211299999999998</v>
      </c>
      <c r="M8" s="72">
        <v>3.7140700000000002E-5</v>
      </c>
      <c r="N8" s="72">
        <v>1</v>
      </c>
    </row>
    <row r="9" spans="1:14" x14ac:dyDescent="0.2">
      <c r="A9" s="72">
        <v>2</v>
      </c>
      <c r="B9" s="72" t="s">
        <v>182</v>
      </c>
      <c r="C9" s="72">
        <v>10772027</v>
      </c>
      <c r="D9" s="72" t="s">
        <v>17</v>
      </c>
      <c r="E9" s="72" t="s">
        <v>9</v>
      </c>
      <c r="F9" s="72">
        <v>6415</v>
      </c>
      <c r="G9" s="72">
        <v>0.39898699999999998</v>
      </c>
      <c r="H9" s="72">
        <v>-75.996700000000004</v>
      </c>
      <c r="I9" s="72">
        <v>18.474</v>
      </c>
      <c r="J9" s="72">
        <v>3.8934899999999999E-5</v>
      </c>
      <c r="K9" s="72">
        <v>-0.22267600000000001</v>
      </c>
      <c r="L9" s="72">
        <v>5.4333699999999999E-2</v>
      </c>
      <c r="M9" s="72">
        <v>4.1620599999999999E-5</v>
      </c>
      <c r="N9" s="72">
        <v>1</v>
      </c>
    </row>
    <row r="10" spans="1:14" x14ac:dyDescent="0.2">
      <c r="A10" s="72">
        <v>12</v>
      </c>
      <c r="B10" s="72" t="s">
        <v>40</v>
      </c>
      <c r="C10" s="72">
        <v>25516165</v>
      </c>
      <c r="D10" s="72" t="s">
        <v>8</v>
      </c>
      <c r="E10" s="72" t="s">
        <v>17</v>
      </c>
      <c r="F10" s="72">
        <v>6347</v>
      </c>
      <c r="G10" s="72">
        <v>0.57720199999999999</v>
      </c>
      <c r="H10" s="72">
        <v>-89.202299999999994</v>
      </c>
      <c r="I10" s="72">
        <v>21.931799999999999</v>
      </c>
      <c r="J10" s="72">
        <v>4.7568399999999997E-5</v>
      </c>
      <c r="K10" s="72">
        <v>-0.185451</v>
      </c>
      <c r="L10" s="72">
        <v>4.5714299999999999E-2</v>
      </c>
      <c r="M10" s="72">
        <v>4.9763799999999999E-5</v>
      </c>
      <c r="N10" s="72">
        <v>1</v>
      </c>
    </row>
    <row r="11" spans="1:14" x14ac:dyDescent="0.2">
      <c r="A11" s="72">
        <v>1</v>
      </c>
      <c r="B11" s="72" t="s">
        <v>192</v>
      </c>
      <c r="C11" s="72">
        <v>74540343</v>
      </c>
      <c r="D11" s="72" t="s">
        <v>17</v>
      </c>
      <c r="E11" s="72" t="s">
        <v>8</v>
      </c>
      <c r="F11" s="72">
        <v>6781</v>
      </c>
      <c r="G11" s="72">
        <v>0.30482199999999998</v>
      </c>
      <c r="H11" s="72">
        <v>68.377200000000002</v>
      </c>
      <c r="I11" s="72">
        <v>17.0246</v>
      </c>
      <c r="J11" s="72">
        <v>5.9100300000000001E-5</v>
      </c>
      <c r="K11" s="72">
        <v>0.23591599999999999</v>
      </c>
      <c r="L11" s="72">
        <v>5.8351500000000001E-2</v>
      </c>
      <c r="M11" s="72">
        <v>5.2768300000000001E-5</v>
      </c>
      <c r="N11" s="72">
        <v>1</v>
      </c>
    </row>
    <row r="12" spans="1:14" x14ac:dyDescent="0.2">
      <c r="A12" s="72">
        <v>9</v>
      </c>
      <c r="B12" s="72" t="s">
        <v>193</v>
      </c>
      <c r="C12" s="72">
        <v>6012734</v>
      </c>
      <c r="D12" s="72" t="s">
        <v>84</v>
      </c>
      <c r="E12" s="72" t="s">
        <v>8</v>
      </c>
      <c r="F12" s="72">
        <v>6782</v>
      </c>
      <c r="G12" s="72">
        <v>0.30839</v>
      </c>
      <c r="H12" s="72">
        <v>-68.037400000000005</v>
      </c>
      <c r="I12" s="72">
        <v>16.898499999999999</v>
      </c>
      <c r="J12" s="72">
        <v>5.6673599999999999E-5</v>
      </c>
      <c r="K12" s="72">
        <v>-0.238261</v>
      </c>
      <c r="L12" s="72">
        <v>5.9463200000000001E-2</v>
      </c>
      <c r="M12" s="72">
        <v>6.1529400000000001E-5</v>
      </c>
      <c r="N12" s="72">
        <v>1</v>
      </c>
    </row>
    <row r="13" spans="1:14" x14ac:dyDescent="0.2">
      <c r="A13" s="72">
        <v>12</v>
      </c>
      <c r="B13" s="72" t="s">
        <v>36</v>
      </c>
      <c r="C13" s="72">
        <v>25516266</v>
      </c>
      <c r="D13" s="72" t="s">
        <v>17</v>
      </c>
      <c r="E13" s="72" t="s">
        <v>9</v>
      </c>
      <c r="F13" s="72">
        <v>6272</v>
      </c>
      <c r="G13" s="72">
        <v>0.55891299999999999</v>
      </c>
      <c r="H13" s="72">
        <v>-89.0839</v>
      </c>
      <c r="I13" s="72">
        <v>22.222200000000001</v>
      </c>
      <c r="J13" s="72">
        <v>6.1033499999999998E-5</v>
      </c>
      <c r="K13" s="72">
        <v>-0.180395</v>
      </c>
      <c r="L13" s="72">
        <v>4.51277E-2</v>
      </c>
      <c r="M13" s="72">
        <v>6.4030700000000003E-5</v>
      </c>
      <c r="N13" s="72">
        <v>1</v>
      </c>
    </row>
    <row r="14" spans="1:14" x14ac:dyDescent="0.2">
      <c r="A14" s="72">
        <v>14</v>
      </c>
      <c r="B14" s="72" t="s">
        <v>194</v>
      </c>
      <c r="C14" s="72">
        <v>91608201</v>
      </c>
      <c r="D14" s="72" t="s">
        <v>8</v>
      </c>
      <c r="E14" s="72" t="s">
        <v>9</v>
      </c>
      <c r="F14" s="72">
        <v>6663</v>
      </c>
      <c r="G14" s="72">
        <v>0.84391400000000005</v>
      </c>
      <c r="H14" s="72">
        <v>53.173699999999997</v>
      </c>
      <c r="I14" s="72">
        <v>13.529500000000001</v>
      </c>
      <c r="J14" s="72">
        <v>8.4871700000000003E-5</v>
      </c>
      <c r="K14" s="72">
        <v>0.29049199999999997</v>
      </c>
      <c r="L14" s="72">
        <v>7.3298199999999994E-2</v>
      </c>
      <c r="M14" s="72">
        <v>7.3963599999999998E-5</v>
      </c>
      <c r="N14" s="72">
        <v>1</v>
      </c>
    </row>
    <row r="15" spans="1:14" x14ac:dyDescent="0.2">
      <c r="A15" s="72">
        <v>23</v>
      </c>
      <c r="B15" s="72" t="s">
        <v>195</v>
      </c>
      <c r="C15" s="72">
        <v>45191866</v>
      </c>
      <c r="D15" s="72" t="s">
        <v>9</v>
      </c>
      <c r="E15" s="72" t="s">
        <v>84</v>
      </c>
      <c r="F15" s="72">
        <v>6782</v>
      </c>
      <c r="G15" s="72">
        <v>0.65069299999999997</v>
      </c>
      <c r="H15" s="72">
        <v>69.408500000000004</v>
      </c>
      <c r="I15" s="72">
        <v>17.685199999999998</v>
      </c>
      <c r="J15" s="72">
        <v>8.6849700000000003E-5</v>
      </c>
      <c r="K15" s="72">
        <v>0.221918</v>
      </c>
      <c r="L15" s="72">
        <v>5.6018600000000002E-2</v>
      </c>
      <c r="M15" s="72">
        <v>7.4478299999999995E-5</v>
      </c>
      <c r="N15" s="72">
        <v>1</v>
      </c>
    </row>
    <row r="16" spans="1:14" x14ac:dyDescent="0.2">
      <c r="A16" s="73">
        <v>16</v>
      </c>
      <c r="B16" s="73" t="s">
        <v>180</v>
      </c>
      <c r="C16" s="73">
        <v>8919178</v>
      </c>
      <c r="D16" s="73" t="s">
        <v>17</v>
      </c>
      <c r="E16" s="73" t="s">
        <v>8</v>
      </c>
      <c r="F16" s="73">
        <v>6782</v>
      </c>
      <c r="G16" s="73">
        <v>2.8899999999999999E-2</v>
      </c>
      <c r="H16" s="73">
        <v>24.759899999999998</v>
      </c>
      <c r="I16" s="73">
        <v>6.1094900000000001</v>
      </c>
      <c r="J16" s="73">
        <v>5.06326E-5</v>
      </c>
      <c r="K16" s="73">
        <v>0.66334300000000002</v>
      </c>
      <c r="L16" s="73">
        <v>0.16770699999999999</v>
      </c>
      <c r="M16" s="73">
        <v>7.6416199999999995E-5</v>
      </c>
      <c r="N16" s="73">
        <v>1</v>
      </c>
    </row>
    <row r="17" spans="1:14" x14ac:dyDescent="0.2">
      <c r="A17" s="72">
        <v>1</v>
      </c>
      <c r="B17" s="72" t="s">
        <v>176</v>
      </c>
      <c r="C17" s="72">
        <v>220102036</v>
      </c>
      <c r="D17" s="72" t="s">
        <v>8</v>
      </c>
      <c r="E17" s="72" t="s">
        <v>17</v>
      </c>
      <c r="F17" s="72">
        <v>6636</v>
      </c>
      <c r="G17" s="72">
        <v>0.52501500000000001</v>
      </c>
      <c r="H17" s="72">
        <v>72.558300000000003</v>
      </c>
      <c r="I17" s="72">
        <v>18.461099999999998</v>
      </c>
      <c r="J17" s="72">
        <v>8.48242E-5</v>
      </c>
      <c r="K17" s="72">
        <v>0.212899</v>
      </c>
      <c r="L17" s="72">
        <v>5.3941799999999998E-2</v>
      </c>
      <c r="M17" s="72">
        <v>7.9192100000000004E-5</v>
      </c>
      <c r="N17" s="72">
        <v>1</v>
      </c>
    </row>
    <row r="18" spans="1:14" x14ac:dyDescent="0.2">
      <c r="A18" s="73">
        <v>19</v>
      </c>
      <c r="B18" s="73" t="s">
        <v>200</v>
      </c>
      <c r="C18" s="73">
        <v>12391643</v>
      </c>
      <c r="D18" s="73" t="s">
        <v>17</v>
      </c>
      <c r="E18" s="73" t="s">
        <v>8</v>
      </c>
      <c r="F18" s="73">
        <v>6781</v>
      </c>
      <c r="G18" s="73">
        <v>0.73506899999999997</v>
      </c>
      <c r="H18" s="73">
        <v>-63.413400000000003</v>
      </c>
      <c r="I18" s="73">
        <v>16.140799999999999</v>
      </c>
      <c r="J18" s="73">
        <v>8.5384399999999995E-5</v>
      </c>
      <c r="K18" s="73">
        <v>-0.24340500000000001</v>
      </c>
      <c r="L18" s="73">
        <v>6.2292500000000001E-2</v>
      </c>
      <c r="M18" s="73">
        <v>9.3273499999999994E-5</v>
      </c>
      <c r="N18" s="73">
        <v>1</v>
      </c>
    </row>
    <row r="19" spans="1:14" x14ac:dyDescent="0.2">
      <c r="A19" s="72">
        <v>7</v>
      </c>
      <c r="B19" s="72" t="s">
        <v>196</v>
      </c>
      <c r="C19" s="72">
        <v>129690513</v>
      </c>
      <c r="D19" s="72" t="s">
        <v>9</v>
      </c>
      <c r="E19" s="72" t="s">
        <v>84</v>
      </c>
      <c r="F19" s="72">
        <v>6782</v>
      </c>
      <c r="G19" s="72">
        <v>2.6909499999999999E-2</v>
      </c>
      <c r="H19" s="72">
        <v>22.892399999999999</v>
      </c>
      <c r="I19" s="72">
        <v>5.8395999999999999</v>
      </c>
      <c r="J19" s="72">
        <v>8.8477299999999994E-5</v>
      </c>
      <c r="K19" s="72">
        <v>0.67131200000000002</v>
      </c>
      <c r="L19" s="72">
        <v>0.17454500000000001</v>
      </c>
      <c r="M19" s="72">
        <v>1.2003E-4</v>
      </c>
      <c r="N19" s="72">
        <v>1</v>
      </c>
    </row>
    <row r="20" spans="1:14" x14ac:dyDescent="0.2">
      <c r="A20" s="72">
        <v>2</v>
      </c>
      <c r="B20" s="72" t="s">
        <v>197</v>
      </c>
      <c r="C20" s="72">
        <v>236049362</v>
      </c>
      <c r="D20" s="72" t="s">
        <v>8</v>
      </c>
      <c r="E20" s="72" t="s">
        <v>17</v>
      </c>
      <c r="F20" s="72">
        <v>6714</v>
      </c>
      <c r="G20" s="72">
        <v>0.13777200000000001</v>
      </c>
      <c r="H20" s="72">
        <v>-49.950400000000002</v>
      </c>
      <c r="I20" s="72">
        <v>13.0038</v>
      </c>
      <c r="J20" s="72">
        <v>1.2242199999999999E-4</v>
      </c>
      <c r="K20" s="72">
        <v>-0.29539300000000002</v>
      </c>
      <c r="L20" s="72">
        <v>7.6808699999999994E-2</v>
      </c>
      <c r="M20" s="72">
        <v>1.20143E-4</v>
      </c>
      <c r="N20" s="72">
        <v>1</v>
      </c>
    </row>
    <row r="21" spans="1:14" x14ac:dyDescent="0.2">
      <c r="A21" s="72">
        <v>23</v>
      </c>
      <c r="B21" s="72" t="s">
        <v>198</v>
      </c>
      <c r="C21" s="72">
        <v>152759368</v>
      </c>
      <c r="D21" s="72" t="s">
        <v>9</v>
      </c>
      <c r="E21" s="72" t="s">
        <v>8</v>
      </c>
      <c r="F21" s="72">
        <v>6713</v>
      </c>
      <c r="G21" s="72">
        <v>4.9605200000000002E-2</v>
      </c>
      <c r="H21" s="72">
        <v>31.026900000000001</v>
      </c>
      <c r="I21" s="72">
        <v>8.0224299999999999</v>
      </c>
      <c r="J21" s="72">
        <v>1.0995E-4</v>
      </c>
      <c r="K21" s="72">
        <v>0.48208699999999999</v>
      </c>
      <c r="L21" s="72">
        <v>0.125691</v>
      </c>
      <c r="M21" s="72">
        <v>1.2530399999999999E-4</v>
      </c>
      <c r="N21" s="72">
        <v>1</v>
      </c>
    </row>
    <row r="24" spans="1:14" x14ac:dyDescent="0.2">
      <c r="A24" s="67" t="s">
        <v>199</v>
      </c>
      <c r="B24" s="68"/>
      <c r="C24" s="68"/>
      <c r="D24" s="68"/>
      <c r="E24" s="68"/>
      <c r="F24" s="69"/>
    </row>
    <row r="25" spans="1:14" x14ac:dyDescent="0.2">
      <c r="A25" s="59" t="s">
        <v>68</v>
      </c>
      <c r="B25" s="60" t="s">
        <v>2</v>
      </c>
      <c r="C25" s="60" t="s">
        <v>3</v>
      </c>
      <c r="D25" s="60" t="s">
        <v>4</v>
      </c>
      <c r="E25" s="60" t="s">
        <v>189</v>
      </c>
      <c r="F25" s="60" t="s">
        <v>157</v>
      </c>
    </row>
    <row r="26" spans="1:14" x14ac:dyDescent="0.2">
      <c r="A26" s="61">
        <v>4</v>
      </c>
      <c r="B26" s="62" t="s">
        <v>7</v>
      </c>
      <c r="C26" s="62">
        <v>0.64335299999999995</v>
      </c>
      <c r="D26" s="62">
        <v>-0.207561</v>
      </c>
      <c r="E26" s="63">
        <v>8.9037500000000003E-7</v>
      </c>
      <c r="F26" s="62" t="s">
        <v>269</v>
      </c>
    </row>
    <row r="27" spans="1:14" x14ac:dyDescent="0.2">
      <c r="A27" s="64">
        <v>12</v>
      </c>
      <c r="B27" s="65" t="s">
        <v>30</v>
      </c>
      <c r="C27" s="65">
        <v>0.66334000000000004</v>
      </c>
      <c r="D27" s="65">
        <v>-0.19356999999999999</v>
      </c>
      <c r="E27" s="66">
        <v>5.1989399999999997E-6</v>
      </c>
      <c r="F27" s="62" t="s">
        <v>34</v>
      </c>
    </row>
    <row r="28" spans="1:14" x14ac:dyDescent="0.2">
      <c r="A28" s="64">
        <v>13</v>
      </c>
      <c r="B28" s="65" t="s">
        <v>56</v>
      </c>
      <c r="C28" s="65">
        <v>4.53473E-2</v>
      </c>
      <c r="D28" s="65">
        <v>0.59143100000000004</v>
      </c>
      <c r="E28" s="66">
        <v>9.7456000000000003E-6</v>
      </c>
      <c r="F28" s="62" t="s">
        <v>57</v>
      </c>
    </row>
    <row r="29" spans="1:14" x14ac:dyDescent="0.2">
      <c r="A29" s="64">
        <v>3</v>
      </c>
      <c r="B29" s="65" t="s">
        <v>183</v>
      </c>
      <c r="C29" s="65">
        <v>0.17191400000000001</v>
      </c>
      <c r="D29" s="65">
        <v>0.30023</v>
      </c>
      <c r="E29" s="66">
        <v>2.2450999999999999E-5</v>
      </c>
      <c r="F29" s="62" t="s">
        <v>284</v>
      </c>
    </row>
    <row r="30" spans="1:14" x14ac:dyDescent="0.2">
      <c r="A30" s="64">
        <v>10</v>
      </c>
      <c r="B30" s="65" t="s">
        <v>188</v>
      </c>
      <c r="C30" s="65">
        <v>0.57742300000000002</v>
      </c>
      <c r="D30" s="65">
        <v>0.227158</v>
      </c>
      <c r="E30" s="66">
        <v>3.6461599999999997E-5</v>
      </c>
      <c r="F30" s="62" t="s">
        <v>292</v>
      </c>
    </row>
    <row r="31" spans="1:14" x14ac:dyDescent="0.2">
      <c r="A31" s="64">
        <v>4</v>
      </c>
      <c r="B31" s="65" t="s">
        <v>181</v>
      </c>
      <c r="C31" s="65">
        <v>1.19451E-2</v>
      </c>
      <c r="D31" s="65">
        <v>1.08111</v>
      </c>
      <c r="E31" s="66">
        <v>3.7140700000000002E-5</v>
      </c>
      <c r="F31" s="62" t="s">
        <v>282</v>
      </c>
    </row>
    <row r="32" spans="1:14" x14ac:dyDescent="0.2">
      <c r="A32" s="64">
        <v>2</v>
      </c>
      <c r="B32" s="65" t="s">
        <v>182</v>
      </c>
      <c r="C32" s="65">
        <v>0.39898699999999998</v>
      </c>
      <c r="D32" s="65">
        <v>-0.22267600000000001</v>
      </c>
      <c r="E32" s="66">
        <v>4.1620599999999999E-5</v>
      </c>
      <c r="F32" s="62" t="s">
        <v>293</v>
      </c>
    </row>
    <row r="33" spans="1:6" x14ac:dyDescent="0.2">
      <c r="A33" s="64">
        <v>1</v>
      </c>
      <c r="B33" s="65" t="s">
        <v>192</v>
      </c>
      <c r="C33" s="65">
        <v>0.30482199999999998</v>
      </c>
      <c r="D33" s="65">
        <v>0.23591599999999999</v>
      </c>
      <c r="E33" s="66">
        <v>5.2768300000000001E-5</v>
      </c>
      <c r="F33" s="62" t="s">
        <v>286</v>
      </c>
    </row>
    <row r="34" spans="1:6" x14ac:dyDescent="0.2">
      <c r="A34" s="64">
        <v>9</v>
      </c>
      <c r="B34" s="65" t="s">
        <v>193</v>
      </c>
      <c r="C34" s="65">
        <v>0.30839</v>
      </c>
      <c r="D34" s="65">
        <v>-0.238261</v>
      </c>
      <c r="E34" s="66">
        <v>6.1529400000000001E-5</v>
      </c>
      <c r="F34" s="62" t="s">
        <v>294</v>
      </c>
    </row>
    <row r="35" spans="1:6" x14ac:dyDescent="0.2">
      <c r="A35" s="64">
        <v>14</v>
      </c>
      <c r="B35" s="65" t="s">
        <v>194</v>
      </c>
      <c r="C35" s="65">
        <v>0.84391400000000005</v>
      </c>
      <c r="D35" s="65">
        <v>0.29049199999999997</v>
      </c>
      <c r="E35" s="66">
        <v>7.3963599999999998E-5</v>
      </c>
      <c r="F35" s="62" t="s">
        <v>295</v>
      </c>
    </row>
    <row r="36" spans="1:6" x14ac:dyDescent="0.2">
      <c r="B36" s="18"/>
    </row>
    <row r="37" spans="1:6" x14ac:dyDescent="0.2">
      <c r="B37" s="20"/>
    </row>
    <row r="38" spans="1:6" x14ac:dyDescent="0.2">
      <c r="B38" s="18"/>
    </row>
    <row r="39" spans="1:6" x14ac:dyDescent="0.2">
      <c r="B39" s="20"/>
    </row>
    <row r="40" spans="1:6" x14ac:dyDescent="0.2">
      <c r="B40" s="18"/>
    </row>
    <row r="41" spans="1:6" x14ac:dyDescent="0.2">
      <c r="B41" s="18"/>
    </row>
    <row r="42" spans="1:6" x14ac:dyDescent="0.2">
      <c r="B42" s="18"/>
    </row>
  </sheetData>
  <mergeCells count="1">
    <mergeCell ref="A24:F24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ExWAS Resume</vt:lpstr>
      <vt:lpstr>ExWAS Results (p&lt;2-5e-6)</vt:lpstr>
      <vt:lpstr>C3_Top20_variants</vt:lpstr>
      <vt:lpstr>C2_Top20_variants</vt:lpstr>
      <vt:lpstr>C1_Top20_variants</vt:lpstr>
      <vt:lpstr>B3_Top20_variants</vt:lpstr>
      <vt:lpstr>B2_Top20_variants</vt:lpstr>
      <vt:lpstr>B1_Top20_variants</vt:lpstr>
      <vt:lpstr>A3_Top20_variants</vt:lpstr>
      <vt:lpstr>A2_Top_20_variants</vt:lpstr>
      <vt:lpstr>A1_Top_20_variants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Angélica De Luna García</dc:creator>
  <cp:lastModifiedBy>Angélica De Luna García</cp:lastModifiedBy>
  <dcterms:created xsi:type="dcterms:W3CDTF">2026-04-15T19:13:30Z</dcterms:created>
  <dcterms:modified xsi:type="dcterms:W3CDTF">2026-04-24T01:43:26Z</dcterms:modified>
</cp:coreProperties>
</file>